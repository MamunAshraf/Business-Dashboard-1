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Hp\Desktop\Excel Practice\DashBoard Practice\Business Dashboard 1\"/>
    </mc:Choice>
  </mc:AlternateContent>
  <xr:revisionPtr revIDLastSave="0" documentId="13_ncr:1_{368DD25B-E6DB-4FB0-9D0D-008E364DA579}" xr6:coauthVersionLast="47" xr6:coauthVersionMax="47" xr10:uidLastSave="{00000000-0000-0000-0000-000000000000}"/>
  <bookViews>
    <workbookView xWindow="-110" yWindow="-110" windowWidth="19420" windowHeight="10300" xr2:uid="{00000000-000D-0000-FFFF-FFFF00000000}"/>
  </bookViews>
  <sheets>
    <sheet name="Data" sheetId="1" r:id="rId1"/>
    <sheet name="Calculation" sheetId="2" r:id="rId2"/>
    <sheet name="Dashboard" sheetId="3" r:id="rId3"/>
  </sheets>
  <definedNames>
    <definedName name="_xlchart.v5.0" hidden="1">Calculation!$D$14</definedName>
    <definedName name="_xlchart.v5.1" hidden="1">Calculation!$D$15:$D$19</definedName>
    <definedName name="_xlchart.v5.10" hidden="1">Calculation!$E$14</definedName>
    <definedName name="_xlchart.v5.11" hidden="1">Calculation!$E$15:$E$19</definedName>
    <definedName name="_xlchart.v5.12" hidden="1">Calculation!$D$14</definedName>
    <definedName name="_xlchart.v5.13" hidden="1">Calculation!$D$15:$D$19</definedName>
    <definedName name="_xlchart.v5.14" hidden="1">Calculation!$E$14</definedName>
    <definedName name="_xlchart.v5.15" hidden="1">Calculation!$E$15:$E$19</definedName>
    <definedName name="_xlchart.v5.2" hidden="1">Calculation!$E$14</definedName>
    <definedName name="_xlchart.v5.3" hidden="1">Calculation!$E$15:$E$19</definedName>
    <definedName name="_xlchart.v5.4" hidden="1">Calculation!$D$14</definedName>
    <definedName name="_xlchart.v5.5" hidden="1">Calculation!$D$15:$D$19</definedName>
    <definedName name="_xlchart.v5.6" hidden="1">Calculation!$E$14</definedName>
    <definedName name="_xlchart.v5.7" hidden="1">Calculation!$E$15:$E$19</definedName>
    <definedName name="_xlchart.v5.8" hidden="1">Calculation!$D$14</definedName>
    <definedName name="_xlchart.v5.9" hidden="1">Calculation!$D$15:$D$19</definedName>
    <definedName name="Slicer_Name">#N/A</definedName>
  </definedNames>
  <calcPr calcId="191029"/>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6" i="2" l="1"/>
  <c r="E16" i="2"/>
  <c r="D17" i="2"/>
  <c r="E17" i="2"/>
  <c r="D18" i="2"/>
  <c r="E18" i="2"/>
  <c r="D19" i="2"/>
  <c r="E19" i="2"/>
  <c r="E15" i="2"/>
  <c r="D15" i="2"/>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alcChain>
</file>

<file path=xl/sharedStrings.xml><?xml version="1.0" encoding="utf-8"?>
<sst xmlns="http://schemas.openxmlformats.org/spreadsheetml/2006/main" count="701" uniqueCount="68">
  <si>
    <t>Evan</t>
  </si>
  <si>
    <t>Dhaka</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</si>
  <si>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</si>
  <si>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</si>
  <si>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</si>
  <si>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</si>
  <si>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</si>
  <si>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</si>
  <si>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</si>
  <si>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</si>
  <si>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</si>
  <si>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</si>
  <si>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</si>
  <si>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</si>
  <si>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</si>
  <si>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</si>
  <si>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</si>
  <si>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</si>
  <si>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</si>
  <si>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</si>
  <si>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</si>
  <si>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</si>
  <si>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</si>
  <si>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</si>
  <si>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</si>
  <si>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Rangpur</t>
  </si>
  <si>
    <t>David</t>
  </si>
  <si>
    <t>Mimi</t>
  </si>
  <si>
    <t>Sylhet</t>
  </si>
  <si>
    <t>Chittagong</t>
  </si>
  <si>
    <t>Barisal</t>
  </si>
  <si>
    <t>Name</t>
  </si>
  <si>
    <t>Region</t>
  </si>
  <si>
    <t>Date</t>
  </si>
  <si>
    <t>Total Calls</t>
  </si>
  <si>
    <t>Calls Reached</t>
  </si>
  <si>
    <t>Average Duration (sec)</t>
  </si>
  <si>
    <t>Deals Closed</t>
  </si>
  <si>
    <t>Call Conversion Rate (%)</t>
  </si>
  <si>
    <t>Deal Value ($)</t>
  </si>
  <si>
    <t>Service Level</t>
  </si>
  <si>
    <t>Call Drop Rate (%)</t>
  </si>
  <si>
    <t>Key KPI</t>
  </si>
  <si>
    <t>Values</t>
  </si>
  <si>
    <t xml:space="preserve"> Total Calls</t>
  </si>
  <si>
    <t xml:space="preserve"> Calls Reached</t>
  </si>
  <si>
    <t xml:space="preserve"> Deals Closed</t>
  </si>
  <si>
    <t xml:space="preserve"> Deal Value ($)</t>
  </si>
  <si>
    <t xml:space="preserve">Service Level by Region </t>
  </si>
  <si>
    <t>Row Labels</t>
  </si>
  <si>
    <t>Grand Total</t>
  </si>
  <si>
    <t>Average of Service Level</t>
  </si>
  <si>
    <t xml:space="preserve">Deal Value by Month </t>
  </si>
  <si>
    <t>Jan</t>
  </si>
  <si>
    <t>Feb</t>
  </si>
  <si>
    <t>Mar</t>
  </si>
  <si>
    <t>Apr</t>
  </si>
  <si>
    <t>May</t>
  </si>
  <si>
    <t>Jun</t>
  </si>
  <si>
    <t>Jul</t>
  </si>
  <si>
    <t>Aug</t>
  </si>
  <si>
    <t>Sep</t>
  </si>
  <si>
    <t>Oct</t>
  </si>
  <si>
    <t>Nov</t>
  </si>
  <si>
    <t>Dec</t>
  </si>
  <si>
    <t>Color Code</t>
  </si>
  <si>
    <t>#F2EFF5</t>
  </si>
  <si>
    <t>Evalution Sales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</si>
</sst>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sz val="11"/>
      <color theme="0"/>
      <name val="Calibri"/>
      <family val="2"/>
      <scheme val="minor"/>
    </font>
    <font>
      <sz val="10"/>
      <color theme="2" tint="-9.9978637043366805E-2"/>
      <name val="Calibri"/>
      <family val="2"/>
      <scheme val="minor"/>
    </font>
    <font>
      <sz val="11"/>
      <color theme="2" tint="-9.9978637043366805E-2"/>
      <name val="Calibri"/>
      <family val="2"/>
      <scheme val="minor"/>
    </font>
  </fonts>
  <fills count="5">
    <fill>
      <patternFill patternType="none"/>
    </fill>
    <fill>
      <patternFill patternType="gray125"/>
    </fill>
    <fill>
      <patternFill patternType="solid">
        <fgColor rgb="FF9F88B7"/>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Alignment="1">
      <alignment vertical="center" wrapText="1"/>
    </xf>
    <xf numFmtId="14" fontId="0" fillId="0" borderId="0" xfId="0" applyNumberFormat="1" applyAlignment="1">
      <alignment vertical="center" wrapText="1"/>
    </xf>
    <xf numFmtId="9" fontId="0" fillId="0" borderId="0" xfId="1" applyFont="1" applyAlignment="1">
      <alignment vertical="center" wrapText="1"/>
    </xf>
    <xf numFmtId="14" fontId="0" fillId="0" borderId="0" xfId="0" applyNumberFormat="1"/>
    <xf numFmtId="9" fontId="0" fillId="0" borderId="0" xfId="1" applyFont="1"/>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1" xfId="0" applyBorder="1" applyAlignment="1">
      <alignment horizontal="left"/>
    </xf>
    <xf numFmtId="0" fontId="0" fillId="0" borderId="1" xfId="0" applyNumberFormat="1" applyBorder="1"/>
    <xf numFmtId="0" fontId="0" fillId="0" borderId="0" xfId="0" applyFill="1" applyBorder="1" applyAlignment="1">
      <alignment horizontal="left"/>
    </xf>
    <xf numFmtId="2" fontId="0" fillId="0" borderId="0" xfId="0" applyNumberFormat="1" applyBorder="1"/>
    <xf numFmtId="2" fontId="0" fillId="0" borderId="0" xfId="0" applyNumberFormat="1"/>
    <xf numFmtId="0" fontId="0" fillId="2" borderId="0" xfId="0" applyFill="1"/>
    <xf numFmtId="0" fontId="3" fillId="2" borderId="0" xfId="0" applyFont="1" applyFill="1"/>
    <xf numFmtId="0" fontId="4" fillId="3" borderId="0" xfId="0" applyFont="1" applyFill="1"/>
    <xf numFmtId="0" fontId="0" fillId="4" borderId="0" xfId="0" applyFill="1"/>
    <xf numFmtId="2" fontId="0" fillId="4" borderId="0" xfId="0" applyNumberFormat="1" applyFill="1" applyBorder="1"/>
    <xf numFmtId="0" fontId="0" fillId="4" borderId="0" xfId="0" applyFill="1" applyAlignment="1">
      <alignment horizontal="left"/>
    </xf>
    <xf numFmtId="0" fontId="4" fillId="4" borderId="0" xfId="0" applyFont="1" applyFill="1"/>
    <xf numFmtId="0" fontId="2" fillId="3" borderId="0" xfId="0" applyFont="1" applyFill="1"/>
  </cellXfs>
  <cellStyles count="2">
    <cellStyle name="Normal" xfId="0" builtinId="0"/>
    <cellStyle name="Percent" xfId="1" builtinId="5"/>
  </cellStyles>
  <dxfs count="208">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numFmt numFmtId="2" formatCode="0.00"/>
    </dxf>
    <dxf>
      <border>
        <left/>
        <right/>
        <top/>
        <bottom/>
        <horizontal/>
      </border>
    </dxf>
    <dxf>
      <numFmt numFmtId="2" formatCode="0.00"/>
    </dxf>
    <dxf>
      <border>
        <left/>
        <right/>
        <top/>
        <bottom/>
        <horizontal/>
      </border>
    </dxf>
    <dxf>
      <numFmt numFmtId="2" formatCode="0.00"/>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right/>
        <top/>
        <bottom/>
        <horizontal/>
      </border>
    </dxf>
    <dxf>
      <numFmt numFmtId="2" formatCode="0.00"/>
    </dxf>
    <dxf>
      <numFmt numFmtId="2" formatCode="0.00"/>
    </dxf>
    <dxf>
      <border>
        <left/>
        <right/>
        <top/>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d/mm/yyyy"/>
    </dxf>
    <dxf>
      <alignment horizontal="general" vertical="center" textRotation="0" wrapText="1" indent="0" justifyLastLine="0" shrinkToFit="0" readingOrder="0"/>
    </dxf>
  </dxfs>
  <tableStyles count="1" defaultTableStyle="TableStyleMedium2" defaultPivotStyle="PivotStyleLight16">
    <tableStyle name="Invisible" pivot="0" table="0" count="0" xr9:uid="{130493E2-F3FC-4D58-9A91-40475DBE9D48}"/>
  </tableStyles>
  <colors>
    <mruColors>
      <color rgb="FFF2E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Dashboard.xlsx]Calculation!PivotTable3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a:t>
            </a:r>
            <a:r>
              <a:rPr lang="en-US" baseline="0"/>
              <a:t> Value by Month</a:t>
            </a:r>
            <a:endParaRPr lang="en-US"/>
          </a:p>
        </c:rich>
      </c:tx>
      <c:layout>
        <c:manualLayout>
          <c:xMode val="edge"/>
          <c:yMode val="edge"/>
          <c:x val="0.2187945317910179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1447944006998"/>
          <c:y val="0.17171296296296296"/>
          <c:w val="0.81104396325459316"/>
          <c:h val="0.72088764946048411"/>
        </c:manualLayout>
      </c:layout>
      <c:barChart>
        <c:barDir val="bar"/>
        <c:grouping val="clustered"/>
        <c:varyColors val="0"/>
        <c:ser>
          <c:idx val="0"/>
          <c:order val="0"/>
          <c:tx>
            <c:strRef>
              <c:f>Calculation!$B$26</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Calculation!$B$27:$B$39</c:f>
              <c:numCache>
                <c:formatCode>0.00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C600-41A5-B437-3846E3602441}"/>
            </c:ext>
          </c:extLst>
        </c:ser>
        <c:dLbls>
          <c:dLblPos val="outEnd"/>
          <c:showLegendKey val="0"/>
          <c:showVal val="1"/>
          <c:showCatName val="0"/>
          <c:showSerName val="0"/>
          <c:showPercent val="0"/>
          <c:showBubbleSize val="0"/>
        </c:dLbls>
        <c:gapWidth val="35"/>
        <c:axId val="585906399"/>
        <c:axId val="585901119"/>
      </c:barChart>
      <c:catAx>
        <c:axId val="58590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901119"/>
        <c:crosses val="autoZero"/>
        <c:auto val="1"/>
        <c:lblAlgn val="ctr"/>
        <c:lblOffset val="100"/>
        <c:noMultiLvlLbl val="0"/>
      </c:catAx>
      <c:valAx>
        <c:axId val="585901119"/>
        <c:scaling>
          <c:orientation val="minMax"/>
        </c:scaling>
        <c:delete val="1"/>
        <c:axPos val="b"/>
        <c:numFmt formatCode="0.00" sourceLinked="1"/>
        <c:majorTickMark val="none"/>
        <c:minorTickMark val="none"/>
        <c:tickLblPos val="nextTo"/>
        <c:crossAx val="58590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Dashboard.xlsx]Calculation!PivotTable3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a:t>
            </a:r>
            <a:r>
              <a:rPr lang="en-US" baseline="0"/>
              <a:t> Value by Month</a:t>
            </a:r>
            <a:endParaRPr lang="en-US"/>
          </a:p>
        </c:rich>
      </c:tx>
      <c:layout>
        <c:manualLayout>
          <c:xMode val="edge"/>
          <c:yMode val="edge"/>
          <c:x val="0.2187945317910179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1447944006998"/>
          <c:y val="0.17171296296296296"/>
          <c:w val="0.81104396325459316"/>
          <c:h val="0.72088764946048411"/>
        </c:manualLayout>
      </c:layout>
      <c:barChart>
        <c:barDir val="bar"/>
        <c:grouping val="clustered"/>
        <c:varyColors val="0"/>
        <c:ser>
          <c:idx val="0"/>
          <c:order val="0"/>
          <c:tx>
            <c:strRef>
              <c:f>Calculation!$B$26</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Calculation!$B$27:$B$39</c:f>
              <c:numCache>
                <c:formatCode>0.00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904D-4D3B-B4CE-C57A01D95E67}"/>
            </c:ext>
          </c:extLst>
        </c:ser>
        <c:dLbls>
          <c:dLblPos val="outEnd"/>
          <c:showLegendKey val="0"/>
          <c:showVal val="1"/>
          <c:showCatName val="0"/>
          <c:showSerName val="0"/>
          <c:showPercent val="0"/>
          <c:showBubbleSize val="0"/>
        </c:dLbls>
        <c:gapWidth val="35"/>
        <c:axId val="585906399"/>
        <c:axId val="585901119"/>
      </c:barChart>
      <c:catAx>
        <c:axId val="58590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901119"/>
        <c:crosses val="autoZero"/>
        <c:auto val="1"/>
        <c:lblAlgn val="ctr"/>
        <c:lblOffset val="100"/>
        <c:noMultiLvlLbl val="0"/>
      </c:catAx>
      <c:valAx>
        <c:axId val="585901119"/>
        <c:scaling>
          <c:orientation val="minMax"/>
        </c:scaling>
        <c:delete val="1"/>
        <c:axPos val="b"/>
        <c:numFmt formatCode="0.00" sourceLinked="1"/>
        <c:majorTickMark val="none"/>
        <c:minorTickMark val="none"/>
        <c:tickLblPos val="nextTo"/>
        <c:crossAx val="58590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29E5FAA-913C-4101-A32B-0956C5BB3092}">
          <cx:dataId val="0"/>
          <cx:layoutPr>
            <cx:geography cultureLanguage="en-US" cultureRegion="BD" attribution="Powered by Bing">
              <cx:geoCache provider="{E9337A44-BEBE-4D9F-B70C-5C5E7DAFC167}">
                <cx:binary>7HtZc9w41uVfqajnoQv70tHVD2Su2i15KfuFIdkyVxAkAYLL2/y3+WFzU7arrLRKbk90fBEdMQ6H
LSWTBHAvcJdzDv/5YfrHh/r+tv9lMnXj/vFh+v3X3Pv2H7/95j7k9+bWvTDFh946+8m/+GDNb/bT
p+LD/W8f+9uxaLLfCMLstw/5be/vp1//9U94WnZvz+yHW1/Y5uVw38/X926ovXvm2pOXfvlgh8Yf
bs/gSb//Gt82WX378d7lv/5y3/jCz6/m9v73Xx997ddffjt+2HcD/1LD3PzwEe4l9IWSjCLNqf78
59dfattkXy5r9IJwQaTS6vNV9XXoi1sDt/97U3qY0O3Hj/29c798+f/xvY+W8PhS4Wzy2Q6JPcw4
Xj0s8bfHdv7XP48+gEUfffKNK44t9KNLMGlTNKvC+b744PHvvyZ54f1tBob6ao/Prnj0vZ91BXnB
JKZSMPykK/ALpQjlTH7xlPw69GdXJPmt9zbrb83Xz5+a0tOu+PbeR0s4rPSvx/63eSm+7Qt3Wz9n
j588LeAiyoWg5GkXwWmhFI4L/XL5yEUP8/k///vZCT3toL/uPHLPXxf+25yzym+r2/+ga9gLJIVU
UvPjCIYJ5lxjhh7+kK9jfj42P5zG0w75ctuRN758+t/mimtILO3QfzXMU3HjJ88Jf6EoBXNj+VQo
U/rrUJ998GX8X1ZFKBykuq9Xn5rI0+74/glHnvn+C/9tTrqZ6/zeP2ean/QReyExJwj9bboRQmBF
mfx8bo5i2Y+n87Snvt535J+vH/+Pe+Xvi4Q/y6bVrb9dP9Rb39QJz199WDuUgUe3PirbHlngq1/3
H3//FaNDwBL0m/rh8JwvN/9dtn985/2t87//qskLIakQCCo4ShDFEPzG+4cr6AVnGinJCWMQGgVc
aWzvcygJ2QsqOARSxJWiUPrhX39xdni4hF5IyjDWDHbOwxP/LHivbD1DPfSnWb78/kszmCtbNN7B
uuBB7eevHSYrFRIYArZkTHNOhMYCrn+4vYai+vDt/4VL7NyMK7fDNtcnUzf6bas7kvBq7E8qQa/6
YgzvcqzMeh4F3adR25QJHkcXf2O7p2YCqz2eiUKEYy0YgSzC0OOZBLP4KqK635ki3E/5hK4wa9rL
plmKV6RSLDZZsyVN5Xd1L9fFgKs6tu1wVoWRf65XP5erT83lsOrHViEUMyj1wNJw/AiU3N9ahVqP
0sKJbleKPE3KlInTLq+aTQj5KfJcfyhGjEk8k9l2cZsW9rSTIts2y+3CAllX3LLTaMFkM49TExdh
nm9+YC32/QwVR4qC0xCV8NPjGU6dq3BYvNu5xU8o1iisRplKtyUFpSf9UJCtmqhL2mqhsaoLmZQ9
DlvJl/yN1aV4V3LH7qsoSPUj48EheWQ8ziiWBDMBbYumELoeT62Nlq7VrWh3ldd10nDTxFoU9rqe
Wv+a89re9Mucvs8ITT+2smhvVVEtcbmo8LpC07JBpZjXz5vrYI1v/fkwJZiVRIcDp9DBmt/s8jAt
apERb3doiNQZRkN9iaD93KC86ePSYONjr6ewxcXwQ3McnzAYmyCOKRaIwwSO91JTW9N6P8LYSCaj
9PXHKJdsJVGnV6H2eIWztIn72otVYVq9G0zdrtuuz18+bwNI8Mc2IAwpwSXUxxIqg8c2GEOf65IM
/W4qlpezlXO/QoHz00C0WQcv8gs3MkXjXs/NPp3T3fPDP+ECctiw6GAFreXh+H/jAjvbkoQ+63e9
X/AFb1K5CqK7bXUZJW3WZgmnTbQpC29/tB+PAws4gEJ8kxxiiibfOb+KcM9w19mdznB7Sye20W0B
Ds+QvLTNnMXz0tanehqNSYZyCSExfbgabOCnExrD9nk70Cf2A9VCcaUZV4IeG4K7yUeaCbuz3uQX
UWXpqdOja2JmdHMWRWGMm2Dmtdf0BENs20RZlN7g3jsbz1nZfBi90ltS2XRde4bWhC1sT9pA3tpS
Ljhu+yxNqhCZl4007SaCILqp8yH1awWBap2Oy1SvOS9Qt2FhTKuYWTVNZx0PxbaNgj3VyvnXzy8a
6v/jvcfgDKBDxkKSHJ8/5AaOvEB2l2esymKejcXWMWwvaaGn6+fHwt8PxggikEkIhpMH6eTxTqO5
LPMQon6Xd51WsaiI3duhz4tYq4kX69LYKbucVVN1MTKLfFmMaLqqzeyKtdCOXswTx30SDT0hidOs
Pp9MaYr4+WlC7XZkEgbJV2CqNEGHnx7PsjPBttnkwq6YvYgLiPJlPHvenfE2k9eq8vS8Y0W6f35U
clj840jItMJYCchuCBNy2J3fHEOK7GSDx91uaVC7CtjruFZldEfJNG1GPKdRzPgok2zS+KLqG7Zv
dD5vXS3Nh9arT2MergDHas8rMxfbiQmzE62sY6NMSmKfW3NjzJK+KwfnVmnlm+2gR55kNZY/iOmQ
Ub5bC2cCijQIZ7C7ND9aC5pKksp0sTsPOfnU0xqF2Ngu6s+WbBlfIRTmYVVFTl8OU0vSVTWWemvm
UFwwgWHja0txQuic6ViMOb5AoW7Wix6mq7K0UWIGXb8RnEzrKhCVRGo8sbx3a8ZRm6Qa75wViQ5t
3FXzrq/T01qNu1F3eLWQdK2ibIuggjClY1esvxiy4rRD9l2xDJDw2jnEkpr8LSvHOeksHS5QSV+h
EZ+G0rXxqPRdr5oyNhF923rYpCYz4Ubqctw1XbWNItomrHAu6efGxOPEPzpT2dgUIkapvVK8a+Iw
quscR3QF6Q9Wi5awnjs1xJp1HkJJFGKr0vc9lji2PpBt27Rbo6U5ZzZyca3ztXeQLcdBJAqjelU0
+FZ3Oo/7Dp3MVL1pMTaxhqIDW7zEtmEbB6c/IZMZL2beXmlA0jaFmsWb1obbSWdqO7n5tGRdSEpq
PrYLnmJSdAmddHtS23zeLMWyEmI55cZehCJboWrUa+xMWIUqeoNClZ8sOCdxQ4YT0qA/1Ezf5RpC
YciTqG7O0SLOGjVeD0KvZSo2pRlforLPY1kU63bJzUvi8mmfhnqJ3ZS/LpfuJgrZS1nNFtaN1gN+
q9JbXtevMSN13JIblA5tol2z6+Y2XNLIfozqDJ+lZd6cqybbdV0j9qHMNzO15FPl59PBTFcYFfu8
WfZZquJC8qRhaj9VzN6Ccbto3VVO2jhvDWf7KOWz2U1zVKJk0SXvY5x2tttWdAY/qZKvjBzg8a3F
N6bN5+vcMNkmJsKvaI6yWKRi6WMihI/TrtSbemz8ejCDNzFfJN7bai7mWBftphnLoY4rxuYyLlgF
WXfp0/GsK0h3W6RlNq+lGCu8LlwNk9NyYJdI5PqOqMVtMk7kumdCDLsumqBGsUIaCAHE6qRQRdTE
GM/sTUSLXCUUauspQRlti3Xha1Ukc+A1HDQcRfeMBHM20D5HMWSnto4HJ8wd7bvUx/lSkWaNhWF7
PPbDuxmxbNVh1kZrwZqGXkwZaTgsnmhXxGXXkHZloUlokucj5ffBRTIsBYW2CLK1PC6w57S3vpjy
dpe6ejmf2watwtKxj8+Pwumh7PorICswFxUaQQpQmEgCDd/jgNwhCLkK1e1uOSyUHJY8mcD2fqpp
s2YPNgkH84yjOFiqygqwWs3NmfAh+zQvwei4mxRYWLW0g/TWTmxKeqXBC7mK2Jv8wTfjg5/sg88K
Sdu1e/Dkktv0FT742Ds+ssvy4PnGLTVelw8bQsxVfxulzQTjSdgwFWqXMi4F1NAxY4tksbKnLlIM
zgKFnAWg1LkU/CKPBDqt8pnulS/bW84zcllm+WKS2cluSfql8eMW+k17x/O6jFY2FcWKzzjfKOO6
laJLdoUoydaYeQiWA+vihVm9jrpplxLs1lOHU5+kka1vijqLPmZQdK4VbLhXnSLueg66Xy9V8wlh
S1Zulss6itC7NntNa2Fs0oqMQO82LLdo6qM9LxGLfWXlRU2iZW3n0L7iS/9Rp7I4p61GO+eQMzEj
lL3OKa9FTOtc7BmyRXco1tTKVyN9X+NF7dOmrC+zvKt3JJrBa2OTRq86Oxd/zKQjPLaoEDs10CXm
YlB/cOLatdKehRhVUA+cWciZVxle0Er7iW+a2tWn7cgauyaqV23S+pZvfOs4rGkp2aoc2sLEqQz+
3Na5LmIxpAFiNa0Q9Kw8T6Z2fO/sxO/mBaYRe27md/3Eir0ru2hYF9BOboeU5nWsesHXuGZLHs9p
XZVnqA7voFc2H/Dkpz1UMvSshhbljc7CEM988Oei0WkWV6Rqx1iN+a1h6Y2T4Y02tYFili2abQhT
VsRlhKdLNxoZl1Ot+3iZlyHETDtNV3VR202OkEumuahWZCEsURbZq6hr3FkxNf3bQlTzCvVpcaJ8
avcRbdCmMUydz9o0ABBEhXxXdsztF6erpIpEFudj+EO2ooqFifKTkvKPZR/4JvUT3Q2iryDBoBs2
2VvpvdlBMIlufKj6V7yUFHrrpokHYica296ECzMgVsUZovnaYRE6SITkTpnMvcwpFJNzYNWJYwvZ
Z50oX+MIR+tlJv0ZSvO1MOWrJQ3laihGfwIMVN8kIhrrVVOSBcLiMq6tVgJCb7rkia2mDowkdJFv
+qGcNynuRFypUmVxlg+mjDMfhmHt0dR2kIJrnyVqRj5NlHZ10qXRFvtI3U1dUV0OBVMb0eRLUk0p
T9omx0m7KLOqljo7G5YOraTMw3meU+rjpajDKgOoaL8seJbx3CF1ChhJlDQFG2IcuHofxtK8Zo0a
Vk07DC6B7Y73pi/bKM67sr7ptStjWw4v/ZIub/tpbrfTVOD7osubT2nGs9cREvYupwWsxIsCOm89
ZJu0ZeXltKTtmWyKHCWV8QBcECFtwkUHv8sRQsRo2q0qxvZCaozu2r6Ydk2eTSfjEqFrx+rs/YAj
sg6QBvdzOy0nLAgZ657LKRlbHK4pHqaTtMuLPea624xD31/obsZzQnBh91IGiDUUV6ZIoL+I1tQx
VWzExIeLzLvuXHWluipFmt9i3k5mk1n8IY+sew8JDUGGzMpbOCb6rbSt20OUcTyGel7ytek6tUrb
QlykQ80uZ2MY9EKZE+uZRvJimeaKxPlcpG/lpOpTq4gZEt2nZI5hbXzXZBxfR74mN76qyj1UcO6+
rEb8ciJg56QzhTmVIp2XODK+OhtMmE47QAzTOOs4ujStys47Ck1gSaPlvLaIh03kWnc5zsN4xgJO
92OZmk9Sk+YtnRA6dcPcnhEi2ixW89De1MRW6tRj6U5SUuoTz0e1IoH1FKIFcicm8uMpm9Fpxse0
jPuqny/VlMqTaJ7D1jRQEzjuyEtfQUAscte8LHHdDis7T/SP4CoVN6MW1zmd+iphADNCRLRjfuan
XF8PYbD7rCEXQ2il28AxLC46rpsbxce+3XC56GXVERPmHZ/zCHZhHmlohUXxVhYphPeZIL9LR0RP
VKvsPq+NrJLgcsZ2E9MhimWQeJOXheyTnvJexO6ALr7VgEttGqeatR4+DIvr9zPOPpWqmmKDM5Og
FCqnzg5FHg9KSYhgAAYnE8znqlZcv6kVS98jORTbdGrM+8iYeUpMgeD7MuP5RWHJcKub5qrhzm5U
ivwpn1uy80N/21OT/TFHUmyscSuAMpotVBT2qq9ccxKNLpyHegrQxtTjaRul8lUPxdyaBJ++LzsV
FXG1zP41dLGHyQ2anRd5KmLJh8jEk470myEvpYlL0uJE5EqeYIXtSs+hTEKP7IXoluKkFzVPSAOI
2Sim5qQtZdjSyuILXHfZWtUj+9Q4Cy3WaGY5rRk2FY+hC5iirVmgIb+AVnf+2LYFh0oxU1d1z7q3
Nm0Djn2aklXnWalPSWGyNatMvZKuE2uoP8vrouD5R5pDtG/qRl/2gw4iGYau2ZZLzyvoA4hep1iV
eWKWVq5b3S8yzvGYJp1DO4ABwmkwWZ7QfPKbqWvnE1WaKMEduCArJ0BSHNVxldI5SlTgpY+7hQw7
AqfmRhOcdeuR1vx2GqPurIOed4F2b4E81wb9pjI4reNMRupSpYC1oLL8VDaE7l3RkbepUD5xFv6B
ShKAiBaT9CYjFb+Fzi4aNtynWRGPjpC3UN/KlzhkzdotQ5SEXJs0nqM0zza5E62LJcgguoSZnl7K
1Opt33h8kqaTWTPCpvXi6yjJllSdu0Y0FzYb3bVT4x2F9mZcyaa059XcydOmORTi1AMQjAF3U9nE
zucmQ3HKIU+2bQYgCZnzVsYk8i7pJjl8KKAS3mWp8XcANZ8LF0EeT4E+uKLAOZwMtAineZe77DM+
8oXrufpcAn+mKj7Ydu6LLP8iz/nz13+9sgb+PohI/vrwoO7567fzr7Kg428dBvrzazDOl4EPLM6j
X75jlf6GN/osIPqbi49IpUf82bekEnmWToq/kxYdGJrDPX8SSVxL4EaoUFh8pos+E0lKvQBYGVoJ
gEEkBGMOWNJXIkm8EAQAJgBHFODQQPb8RSThF5hxqhA0H5gBOk1+hkg6YkyYAJIZng8NPRYwkwPL
9S2uZDIyC4i2xW4pLcAA01xus5zKRCxNvc1oxTbPN05H8NmBEaWIMw7klXrA0B6P10B6dqGB7ntO
1QSZwqWvWMjNHvqh8nxWOTojdZ3+ALM7QhYfBsXAmAEnpAC+xQfm4xvwjMCRGoJl2c53PDpzdZWv
cCNoHMGPP1jfEVp/GIohkBpBN4EA4BJH/E4TekClBSl2MxR7Z3ph0SpHmsUpqqpNjzmLCw/Ay8NP
uULj6+fNezQ8lCf4QMYhBNEeGDl16I6/WSmv2DLWXPXA4QxDPNaGbrxdoiuSu2iOO9svsfI5uygL
1d01VLkfoOTfgbjAhlLMIewxCbUwbOzHE6jGwNNBAE6ZDgcnVxN5PbioeF+FwqygRIIQnPY5O21J
t8rqbth2puEeYEsiiiR4h2+kGKatwsP4xzjTOls9b6Cj/Q4GIpTAwdGMcJAiHbMpheUg76tRt+tU
PsS1acLK8QmaujpMa5810dXz4z1B1JID4Ye51AcCix8dsKj3ygc/uF20wLAxwwPBMaxMqDUAfuw6
t115XUJDU6E8XRtFfBpXg5zPJltV/kfY69HxU8CpIPoQcYDYwkwfzcYM0vbRkFa7QKDhOXAO2sZB
EnfSESynGLCd8iy02v5RDO1HAeT01o1iWbt6ZmU8pCq/pkuK3jNL+iKGai/rk4YW7E3mh3bfz/nU
xlkrcUgmj5UFPBQOnIX4cmaaLtqbXI11QrKabNJg03OJDXr/vMGPgBn5sERNGGDkD+fw+AQCZ4ch
wRVmx9tR4XhpOkdXQBpOr+teVImV7QRMaleieB6wvgAIp9p0tcnO+oG5bZVyv7cmdXcB8+gKSNr6
puYDej/pWeyguqpvygq375Tl6V66ofxIcQ2VwuLJ7bBEOosnwEdQ0pFA3zCAHvrYNYs7H00I6y7T
9c3zy/0e7gIBqgRdHRYUI6mO4g2wTmmlorzeLcPCAD5gVeJmHiXPj3J8ag48LILDAsyM0AySxuNT
rXglAYq39U5WffZHlMPOSb3bh37h9wqK7J+L1wcXAucEwBoEMuBfj8kOObkuX3oYjhqbnVe2OIGJ
TYmmU/hBOHjiPEBiOKRY2DJCkiMUz0ykyahz9W4MWXZe62Z6DRBZfbNEnTvUSPWNwXlx/bw1j4P0
YXlQCUAtgKESReTImhQEw6j2jdl55rM7X45KrWXVwUksucU0lrmgb2Y9te8qQGBt3PPoRw49yogP
FuYwCQmiWC0gUzx2aDQKWQZUtbveymhVcGRh3wxNAa00N+n58+t9cjAhBNMQdBA6TkrEiEqQXLW7
uch4XEWQdFNZN6c6Y92r54d6yp9CATCrQAcEAPDhuHyT/6BM7lxnSAuZvk/PMXH4fHDTeBKRTp0w
WjWnOQ3iBxT5U/4E4QTgGSAFh2UeDdqpql74CMKJokPQX7G0uM67mXbQSdbpebnM4MNiJFMdzz0U
03GdQdb5+XWDdJZLEB9xLNlRGFicSkNQIJRgORK7DDiF/ehTtLaFAwYqwjyuSf2j3PaUXzUQaRBp
tUDymBEHARRFAEC2u6xk+iKNAmQ2STqTrwqRlj8orA5G/AtvfwjroAwmEkEaFRKq1ceebaFSVNWo
7K6DnHVRmP51cD/M1k8MAqo+CtpLBTsImNbHgxhNe74YIA98NgEMgttIl3GUuernA9xBWwJMNyjI
vhdV1G4JURuBtmQSHXtTAR/o4rZFUxIq2rQ/2BsH3x9ZjkBMgdoS9BtQmh0tqrdjFabJ9zsBK94a
gJnJSiPI7ItQ5jQHVusqBdVEkYyRuH1+Wz5lT1B9a35YrMQH8eq3xzEqIRR6QIB3dSWiVR/YXVSO
0/r5QZ5ITgeFCmQMLQA1ON4ZgZbwSkoFCpU2kvUNK2AAX4xya6GZifPa+w/Pj4efMCgFPSAmUElB
VjxWBlmOyqLTxu5Q1y1LwoLkfp1LC0ebeRtMskTVcoVl1qzyqEyzVWpVcQaAMqDSIS9UubcQu84b
kKrdAZY93EHACgwg75RuxkJEZynz7bvnJ/3EWaUwXQIQoEYCNDWPPbGMrAN+Lmp2EwW6V9ImPZ9H
J3YNT6Oz54d6IhwedDuHd180BfHOUSwCNrirFyA9d6kf82ZjRFmeGbqoNcCz7uXg8bwn1APwzQfL
z0bA4X8+38CbBkQzaG2hEdJH7d6AFjlG0jc7w7IhNh5WiOcW1ASF1RfPr/WprSDgECuI/KDGPO4s
oT8Wh1rF7BiUjCdTQ92JA1K3iBVa6BuAkGW5UnZxJ1H3w7TzRK4DsamGoI+1/D6H6wh1ckLSAKvL
IfwuUDQsoEw5yfxYbFzVjUVc6OxHxcsTpw1yHAid4ERDPj9uoBaWT/lcp2YX+Ya9aao5ulLL1L1S
1JYguwTC/3kLH4CT4/B10F1RzWD7aigHH+/cjAts6gV0VyWlRgDdHtIuLoso/wRJQL4+qHGjeNB6
fL20Kr3SAES7OC9sCHHGy+5Ty3B9M5YAF676ZpbbqPXA+c1jfsdZAbV/xf1IEzi3eexVp+ma5l3Y
2Y64VxBZ2rfPL+eJcwiaFwQyMihQAL85OhxUIOdZA4oqYKxAyNHWgq4k0D5vfYnD5U+PdSgIYGcS
8BX0no8tJwmg5TOpoLgVUbbyeFw2Sx+5rT5gET8/lKZwBDCIkqFyPzpyM+p8A6raeveAeICaBDQE
qYpWLM3L3fNDHaCvow3xoBMDWSiHpgdKvcfLMkUWgfArhaQyZdBRe0FHwAtEu8V9jd43nix8xXpu
l0tfz1B0DbMSH1Fe1TcuGpsqAVSfXM0qLGdAjAMdtkw4rMElRZLbyN49P1tCvp/tQbglQEGKINmL
Iyd0bHZAagAgYsYmAzKYtre1rKOzFlQsLh6LIrsbUN6/AglZNsYVTqPE9mR5mcm8uywXliU5Rv4l
qBqqxEjoRWw9hFUuvDsB/k29HFUzbVExDqs+FeZ0FMXwg2IFGq7HYe4gdgCNA+hgOQgxOVj9KI+X
rg9VRUDs4GwEhMJB7JASwkyMQHtkkr9ROwBnPYbk/13pYOcFIufE6mna6bam6QbohkhtvhE45EyB
UOVJbUNVRfIlqvLm5EHbMLMpPc9C3+XJv6lp8FIDXzCzLB6WUp6kupKgLfr3NA2qTSlszbIO99It
14/lDPmE42Ku9JD8h7QMIKkJoOCIlmH778sYcj5Fn75TMPCi1q+KjqaX/+PihWZ05TWk7doDKPPf
ol1orFfvBIv6f1O7YASFioCr/69d+A9qF3ig0Rs15+fPyxaW7mUaSQJ5/n9audCBTPNeDAYlJaCv
K4eA0+QNeesQBZQ8ajogI/rJLxr6AzSfVpKNIOPJWpB6WHhXJhFtJ1+nYzS8ZRXUmVkjeFjzmTdm
A21j2E2ezB+UnBqXLBNUM9WIunot2yBA4VsOWdxlM72cuYKQzQ2bXjapXt7CyyZ4x5uJrIAvDO1V
AUp+SJfdFN3hElTCNSL5uiyCedPmuQJRfdUkXQ86mRULy7RqaApkPxpHeF0lwPs927wpynU6RcWO
QTFzwnXqXkU8B11kxznlIMAh7RVvaB4lcx7wEFcmZZsMeVAuYrfIJuZjF4oN1EP6bDLabNCwDKsi
a+kr3mp42wL8XO3BeaTb2KEN26wy5qOAJv0mwMsEd675NI0Hlndh9T1gk3QtC3lajWceAuRKl4y/
dBSC7wRv3CT5EtmkrpG86bDRp94PClh90VQwiwACtZx26a0IoEL2bdmcjDZ0J75lUQokPBr+EKOZ
zuEFFJFweLmI91m9MxMIQRtMqw3tcZ3M/5e5M2mSFIe29C+iDSQQsOkF4PgUHvOQGRssh0qBBJIQ
g4Bf38ez+71XFVmdaW/T1puwMsuKcAbp6g7fOZ7GDvNq2++BHE1l7JFpt20h7jUiU7G0s1cGHQuP
/TpeqTjkEO8OejSZ92jPPTXDlMpPrSdEKWMyHoLQdTtAO6bL+nH9K/LMdPGWNjyu7Wo+RyzG0KSe
xAMxkd0PSXxlPiK362Kv/r6Gans1TrQ7MK/7kZD2YYrD18HWKvM954rNLRAj1WSBqgJgYTDkkxS4
0wptpc9hG4aXKYn4qaNAijcunckWjJuP0Up9lxn0cEXubXQ8m9A2z6pTgczs4MkbAJHurl+Z1adp
BLEJXsaPCsIXAARL3fKHLRRNTu3Edh1AHCzOlAhcUgTpmIv9suJ0ebbaS/ZVncy7JMIQKSbm1gPz
kmbAGtHpVs2YPG2xZmuBpiY4+JaZ5LmOl+5Bj5Xpc0O8utm7MUB2OsT0r9q3vAxbOviFWvvmgQVR
XbRd3UODUWueVWtqjlEkdYGn396EvndYMW74SlFvHsF4CnTwwmjes8qltqhn297M6zZ8r4Em1flm
Ir4VbdgbzEAcyrOCxw3ZLek25R1v1Y/Wm4Jbw+roZU5VBPYe/MDN3Da0zRpDWoBgep6KYWKG7bRi
08PMgZRsidZH0vEtW3RDzmuaxBnH6PbWrPS6tKftbDvcpjdolEeLYUE2sMBmVUi/DKgD8gSUdb56
A8AHaD1k4VgLBU0fdY8+FGG7MKoN5rGm385Arf6qaQqkHvDleQDAcNBiVl/mhWPBx7ww2puP45im
WZj08w0HkZxTQdu7foxBlQT+mieLFoUJ6VcxO/vm22iBUGwKPjVD4h3GKn4NTLDliewJEKvWBz7s
x/TYLOmSrbqTuVKpOLBN1zs+u7GoVOQdGremRRAoelMhRSDO6Q4BIWU5R/TL5gjMoofJTb6CVnvC
GK3bC27ryzYKSFfmaFZlH8/0TsqaPlLptlvPrA7xKx3RiYjTR2uq4cliHjfmkiyA7DsfI1R/TY5Y
+/qtptYrRmer10Wgj+E5LWze6FiX3fURDSDRDxERUxE3zB5i6/iOyk8g9xDFFeHBcxjIDWn/ygDj
+T4Kk4Cr5gKK7BjgIZ/8YfuS1MRmdBiTkgzSPwRKz3nl+rbOPOvbR8CZP5jX6fd5U/Y81/Ztqhb7
Obbp1wHKhHyNEQMDxF8no6bobPBe+ZG+p4gLO8W77TGW46vnqqoUxGse6mlrm8wAH9/zvgMTRdSW
BxNzxWQxhZwICmubjt3FZ0O6C9nY76q+s+ck5VFZ6zYteeXybhD2GALTv6AI2YN4IjIDlROUXb/x
Nws9xXHt6seQds8tEJViHkZz2pS35ktYqZuUdtN1D4xFX4Vfp0ZeudSF7VKCHyBld6ozzedGMXaq
Qb6CpGLVQSSbLvqtTnaeGLxysa7NFtalCAbLsCOdulKy9rKKyWbKjq+QWS6ZpNF08lPfrJkfVEke
BI2QWcCa1C/jqiqa0GMvYu02lRmvF2C8AhNiuwVpPkie7tTksYtoxzoPNj3v587z9lsDPUc0d/FF
JEt3t4jIfDNKsX2slqdJV1EZiM0v66np3ibH570D5L0j2j336UIw5DHRa9s08mI5d7tBOnnhXpoW
fnNoQrWeWt/4R9I6/9ZOoH9qradD0PMkG7ukKXrPDKet4/Sba6hfjkwMOe9jgKVTsrxALZCCJ/dM
HpuwPmHIO+1UTd+bNpqLhbYbdGgOKzyoLFoC+mA7seUianAqBu2CLMlr1G3qRrOTNpp2xPXhXaJp
fAzq9lswNOPrWPXhARF9PlV2RLtcBHIXThH/6tZIZKxXNeagVL4ObJq+WI/ph7RhzScyg4TvI0iM
uoSeR1cNBdRWUEJE6Xzy5kClh0ahl6BDqBVWQwe8u3aTWVfP6gcEg01BV7BVYtvXE8YrjX/wia1v
U1YDteI4dH2v8nZePfUnqGxUVs/VXMaB9gu8sjavjWeRgo9BlrpkT/FMMxwOCRCNGYnSMOZeI6Nd
JKAwlQkBOLushbe2tuycFDkdUvO4yJYfTINY6DppdwbT8RwCnCpnqGEK0Xb6wuQCAZKfjF6eNpAg
B2PfQxIIraRnOa2gGpx8UGRCzpe17Zv7mM0MgKaz5crohnXKTjaG2K1IqdN3QRMFdwoZ4MFDVndM
5DTl64iKeOg5f2xRM2X4AFeMSWIzjO0hnEmW5NB6A6ZQvgkQVHo/S6rtptXNV3/12W3bh/NDt4nb
WQFOnr3tO+RFIo87eUkalWbEEfJD19DngNpbH7Y4akvi1+wTbVbv3Gq9QUi9TFGT+Wx6qWaibnr0
fos6UrfjPL9jFmaycPDflJTznTfptphq4mXEMOB1PneHNhigRSCjfDCzxrmN4U/mj8GXsDXUZbYK
p1MwkwZig77a+6SpsdsXuavDKn11ARG7VjTfZOS2mx6iiCjXYovzuEH3NZzHdQ/JdPd9Rm5VjqAa
jgEx4t4JrQtCEHNjH8lKZqHfHQHg9uF7OEs/c13rAUsk3Ys3DNU5GVhSyoqtOV8Dhu5+NWVk4esd
kJGvCTdrMW1NAGFVHX+VvdE5mO/gkAJMfZ4i8PqqY6YIJg1QcewEhVywjXF8iO09nvC2AijEMh42
/EWn6U0gp+WQxE7vHbSmt22yqZdOjQoHiq6K2VB5cpiF7wa2+hJPiz2zudqv2g3HNKzZXqez/TJO
fNz5drnVbb/knsLijqbUPDDeRd/8tn8loVM3s4IOqVkXm2/J0pxALUJxFQ9xIVlDXLmwYbqxlR6e
Vjm6HJKkxuWuBducmaWRZ1qtMue8/rH5mCxOnQexR8sgglrn7uRX6KtmszJLOdKalH63bIXoxEEH
at6ZBH0sAr+AjE9DmLdikgcShduPBRnpDTjYYOe26uI1dHyiTNYlRqvAYoDDFUMQ6++04jqnvTcg
O8DOg1gm6rIYg8F7ATwARA+iI6jhxe2j0JwmWfe3I3fkDNj2PZX2r7oRcRnbQB9cZNfS31J/nzrX
nZZZszBrDZv/8oBXqdzjen4R6Vq/QWhpv0f9D2FjL4si7R9IpWxBFOvymGzdZ677piCUTSc7u/Ak
+2W+38iKI8QxSLpIlQ6HSgRJnbGRs73fBWG+oChAvsl1ib5d9cgdglfFt/bQjEo84XRdcmJUVQgu
eV4ZueiMxqEuWz1iJ0lvW2WG6SsSRi3NewVm9zD1YwV1jYT+D0gzHmuwnmgMQWJIgpN1abWXbd+/
ojMd361qSbusFv4NVKH8xulW5AAWdFrappc+1AW2dmWNCiOAyLDycI5GRi9ZuFo571ivMVyOwjVs
84Bbn+OCeuOKgaw9smOMnodCuy2zKEGeNbwUSo1O9TGW8r6Gzn0HLy4QslvS5uEq21zIrS99vckj
mCEfB0diXrcObHmGZHbhOQo8SXPS8rVkowW9HQVTsGaeqIPd1DSP6FlhIiChjzEr0sE4lgZp9MIK
yrYg575qS3yMu62SodoHoplul6r1c1Jv4Q4seR6AxMpZLy9Avb/MapugkGrGg4LwpwwgJOg31kPb
50Na0afT2dG0OoCdvrdOWyhMLNLPmpgXfw513vsLybZqaryddtXyhuFIk3cRKmkNWekPhwHvF43j
8UF485qnyL5y3Zh6HzBOLxO6158Ui+GrwJFp06zriPjLcB7s4yp8T43pdi5VJJtAjh4DX7bH2AvO
XEdvV8z9GHeDKZp+etFBIM9tSOdD2kHQG/XhtuvSZPw8s4kl+7Vy486EIeLvoMJoDwuK6KldIlm0
dOr31LTTZQGUdoJHxlrWJKzfKVRlMnO2Top+mM2FtNWwi6Hl+0GSprn15j7Zo9KaC4aM7zRhlZ6R
GUAtb+L0MITcy+3IwhNExj5y2JG+oKWQfokTTc62ZsMlmpf4Pk05BjYuxSrUCfLwaYUIng3Ysiin
SMnbZXzYqobdLyuV2VajoxNxO11zseg8LHOIpE3S6YucldVXa4gwAc7ekSd/pI2X+Stn3xvQDE2G
/MXeK7LgwLArqhnkDadq4sMFh3Wc+0kVn/uRmSZTgRcfJiK7o/JSQrK4hzKlj4bq0xbX+gii3j8m
mgevAaQxpdzknCKTqCeE1nlDiYxR9LutQBiKxoxl4KfLronHTgM+dSG0t7F4g/uChVFA2N/yySLn
boXbeL4gkuks3TzIGVIuId+FiUADY70Vf9sywPHFChD8wjAFK+jWLt/GWnjYPHW7l2sAhW+lN3e3
eZ590JUk57ZS5lkEXCKbUCtqwVmaXV+z+SyZ8wWo+nGSBcQPcZxtMgi+u6a1N4K77qvfMYhFa7aI
+3mtlcr9DWqYm25USAKSXoubIRlBuch+SuoiXhryFjZz/2OYpB3zNZjVmYgEB/Mi4sTLPEWqe+Wa
CUcvKu4bfwIdeLGx8ggsaiIGaa4ff18hMrrZEBd/8FXz5Iw8jB0CGuJcXbwA/i5TGsw+HG+sOhum
InSKBq9/9ngdvqZtN37zoVGF0qniIkEMw4zUIVS9TwM8V7ZuxuVOwmtu+ATeS8I68LVNZf8jDEP/
HS85zgbSQInoiBdm0FoYU2BCyZM8ZWM7ZQP1MKcHXJiUA0o6aBElOVQ1JU+mtcPtWvu0w8nYrCrj
RIeXeugwq3L+CPErzE56WtQQdWRVypcXtSUAJnvdgdMNf14XreYoH4zwRYkEs/88rEuUZo2c8dOM
iHhOLbgTWIjdUcy3L9FUW7RH0ro6rEu8vOiKtP4eoo70JOy29RAZT7K/cBX7FKLdpRmehHEAhSqf
833cYUzawCNneJqFkUEZdiIsO+Gpupg1bZ+or7g8tklVN/k4J5ZCfWdtk28QBkE/lIbobBDs+moS
1BbDgKEQDoQa0GS3gmdLIbI4x25on/pEwKcIMutoN8YTHsiwDnikAZgsjvTfBGGJVSqg5Ql6ZBbd
gNGtHDDxygxHdyOv4q19QkuDf4KEEBV06pmwnALnv+sB0iZo/0SZdqJ9hcfADOl8BEVt6+lxX6l1
/Da4abwN1mU9sUhMDQwz+vQWDVn8eTmAFIAOwyuSMcU6RUVfXRaNhZkD0AeIl07mM1PITFIh+CUG
m1tW/SwOScUwxlXxyr8GHhc30SrA8sxgguedZWg85aJGgbSTaFrOufFT+KTA30A/weNjEXkzyLUr
RtjX6IxXEeaUQ4L/tLRqbibI+l7REWia3DbGIli0w/JFp1H/LKAU/ybmisRo0VHvi0eAZUaa9s/o
anoo7lYNV5pE0jgD4exerE/tW5+iYSEDlbyiZmC3MeXLlrUyvWjLkB/07cBwyCsPKqMB8QpjU+Tj
FbnSQq3hUylqAaRuiEjuLx7yyhGB9Bb7YOzyBc1ZmUOjDoaRBisfCmIqCB8nmlC+n2LnfzKtbJK8
HYHooIOFlWVnEb4mEBYqqN8pXkQvIggqrd/iZUphznMDPJeudqgeAXng3EUzuLtrQLcW/ZzUl7RN
2/t0VFVbBhX6qpm3YNNveN9ogEKptQPBsNYnECrRK+07LAJIcj63ZGTfGa3FTW04QRtydQgP/gjq
cfRCKKpaVOYKCtdGrNBH+tg8rb7yWcJs4VREbZQ+17WHJR+nWIGe6fES1ATVazmEE3CPWUTQBys4
qrzyOQ26A3pU7sVLGnHwATjcQZXYPkEMPuWtw8LFsVBd6pi1T2sU988yTerh1ERD/B3FjusKuH5g
b8BzFlGJ080DpOppZGYjeJ498mguSh1WROcb+oif2nUjyLO0IcMRipT6EUdRz4rEykoc2TqJg01i
bm849keXO4gz3+sWS1tCeXurJHbnGmlZatMi6sqVf4KyFo8zDsiq7tyQrEg6ar7tfKhdRflzcD2B
gPlhfK7JTlczwj0zFEu4F9f9PRoUOrfJFfNW6yDLK8wSochWiuwC6RDv8SH4o+nq3lqaoi3sUmKf
Rro6yGgrMZbiGpkVDoAy3WB340cVz1OlzaNq1ALVazAuOyT1OIEkwz+j4+zviVDrhfmJxTMA93s/
QHsVvcvWtg1KyJqhiYq++rVDhZcEZ+Nxr1WNYsh2HUvylQjW3tUjfKX6sddH3zP6mGrPP41bjXeB
Q86wHC8YTe7YDrSMFvwsYICA2O78prprI4YY2WwUcS6qNIKI33v0FSWlv2+F6YuIe/Wjxfq+6xdZ
XRzkKbuxjuaDxwMIfRfk1HmnNzykFeK68RzPelihB1PotCovqbzT2vntmmmNBUfmiIb5vIp5TwgE
4wUMcpBs++iS7muMa24g9t6STFCJSKJgWieg9m6BN49T/7yYAHtRWZbezWaeCzwHdqj61Msl7Wxf
OKstJiJDdNKYJ/CMJsCKSGCi5xCrey8Hr+PIy3T0pcWBgiw52PqD4e4iOjvMNzX0IGk2MkDGKgT1
iuRBHNJFQMQtIJAXPMJSmb1gyU2CyYdTQKwyv17dS+iPDHmjxSEVJRSAFV3bJyRaHux2Eo7FO4oU
+uraJKSGPVeLAxPZITmjjJ/u1n4eM2fqcMnqYQDGL5bgHj2quwnmIFmi/CBjCmeDBz+MgzWLd5om
N5zQmsDdRDWthhytce+wtD1SwC6eEeM9NcDsqRoj2D38ZET+n0nm/q6Y+5/7v/TV5nD4/0dX9383
a7yKFkDoAYn5T+PtX9wa/8ul96+fPpI/vRr/6xf/j8Yu+B9w07t6xIUhQBXAf/9h1pik/wMAVADa
HrhTFPz8l//Q2FHY3gYxTYG/x3EMZvHvGjt4XUC3A1QSKjX87n9HY/eTfvobgXsV2cVoQAFgu7qG
wt3qn8QSGviVaJNVHpKxOQwN2iNKLpg6bP6FKnburETVv6BFqJ4SC4Mb6ggUJNH0qv3+D3Bm+JHO
hACKgF7F2QcTyggarX9eCx3iFRt/MwfIg+IsRoMT4at61LD9yBgP250hENTjqBxfWDpvZVi5texm
ODaEGHZ+H+h7pVEg0LA+BpCg3qa1teW4TmnB2qHZY1CWZBMakiUE7sPdkLZfoez+i04qvpk3GFTp
0XX7jnD/2mk8GR3OJ58sYo+xsv7WpuOMDgaH55NMkltWr5/qTqRZtzXDfVKn6y3M34ZCbCZFej7C
GSzAyKIG5FtgGK4B+HXLF7agwWhryO1QTed/W3v3//ud/d138yN7dn168ICDwwzcxuNf5H2ii2Oc
tUt/wDCMwh5EfAt4kxTGmgL9ufAs+ub77z/x+j7+tnYSfCIsLdOrfBQOfPQXYPA/LS0Xv/8mhqY7
RX26/gHf+wVp/vkp8AFC2wAihl/oesB7oScoKDVPV+ehZ3ChjOE20fgRXK6gYG4HvFZYRPSIvjCB
y/BWTmjKiJu13w6qaUo4YfECnc14B4NKeIwYr5iW1f4BRfuXxQv1HmI0/HYYHOk+sKALDxiAAqj3
iKO3Vk8UZkejAoFdFRXBZc0Ja07tOpxJ6vrz718E/bc3QSDsjK7CgKuS9J87Zwk2BxMp2R/ael7y
ZEDjqLbUe0I1A+elbXmwQFB2yTqiWbZBLfEd+8o+T1WznDdlwvM6tGEmde2+hEEA05mxWKrBgUo2
7nbuwAX0Mf4HascYc9X03mGSVyhNzH6wkX3HY4mRm8LQACTgGx/q3F8x/4rnlZcB1eETE3P0ZhSa
uL+/7194y+vaIIiBkGNh/A611D/ve9q2bdKNxogT/cSlUW91032Opd9lsHL9aqYFrbkFuIkf2Qdg
x/3OH+13Uns3cJHS+cgwFrEUdhMxfHHu0S8N/3CB5Bo+P2yRKxkMbSVYb0yKPoRXWBQOfSAGc6BI
kLE9gjs4TZF8a/VjFUtvb2ECsAdZXAgzzKdZK0ze63XH6sntg3CgqGf6p4D4PJ/s0pTV0Il82QYf
7dlU3sGmFX8iTBa4oCx/iMbxvyxo6CMSbG4Mqq9a8H8+2y4KMLpIK6haSHqEKyJoz5l/g1MAimsf
/Wl7vWJAFncdn8hugwdGPvK4y820MSThhIOOmQOemYTNBRWKFbjapMAx6GH+n371DEmKoQXWQ53h
n2kb3zS+G3MHP6O8V3Y+Yp6lbjeaPnvK9nnXd0/1xuoac1EQIiP1W1g5WCS2MKmhD0snw2LkqNNM
oz75UJHtYh82etk2BFdPvfqe+XBA0Evgcs2m9QbkNn+E4tTmvXAuH6BDyIJOsbxbzIIKQOIYGHvg
1wFsm5gNbQka6K7isr7oWGLCQ/of6CqkBRRNX9qVodmfhH2p8PUe8s5wlJ5yTIYcAyt+gswPuw1t
MZwC5shn0EoRRYM2ssl2byh85NiM6Q/ykfGRBxznbUS9/36ACvEmf0qLkxDK+n++z6gzsIZFX+0w
cR92JzcqYl6O2B5jgqlvqFzPRM9vHiN/tGH+l5MpDCFGiRkETNClfFhJFTxjaswZzQETi6+x6Eu0
ab6N0NoVeBDAfLBxdhCfvImN9mhiaA59rOf2FiYgAELGIzUTyd0s10/obNU8a5GU/D6Q/JRtftyn
uMar4Ak8/y+HTCoDHW+0M4cYVoiZgXLkpkejLY94j/E0KKuHATZasDSJ+hzoSblaZCJRY5cckr8T
oWoqcaTwIty2BzHoV9RKTTmSPj0StKqdFZ8BSEx/0BNfTRh+iS5RBFU9gWVBgp//fKWmdvEKAyc4
b25w2EJRk+wqOEAWFiQhXFr9+kbpxPvGU7gaOma3XS+a7YKBngQLpzDgc5iZlxHpB4zQNrODmPih
ASOxGH6s4AjztPHwaKfHAW6y+dKDz4k2lJ4dBLZIzajbVU21Z90S5EJhCF5z75Hw+C7d3FvI+yDv
uqrfT764T1b3Bd/Es/sZ/KiIevQ306kkFF1h6ItGNJhgucBTdMLgPhju57QZbQ6HqCPcjOErKMJL
76MDjFh1hIZoycdNfOYb2kVefMfQcH7+/XoIPyo7cLAgsQGaRnwohdjHJdtJswZQhOpDQuH6QrdL
JdbnYJH8Fi63UVG1gc5iP9yNjvB8AMuVoxeOANBhAD8Ba6haV2J64RdhLT3MUZM1Y74FoYbAr8jV
ocqozygKZwABa5T//BTPWXgXcri/EPyliILQ8yD9jhy5WRv2qgeuX38+Z2UsKRyxLwFb2Xf4CObQ
0qgMsAvGO2DQ4CRTXX2BMFWzgxl2v3825F9WXQQjByTqiPqg7z9kOr5J5wH6Vn1o2PAA/9FzYBTG
5q4fCxeGn7C9vDuNZDDkcCGb6yUq2tlvdgQtmmKBB0wRiCq40Ga6U70p+4p/idv6VkYWHRaLlWVb
WAkGV/ZG6V7mMbSVOFTMnVj86fvv7+XfEghoU6HGR7MFPcGPYuPa6jlxJkFo8oKvdNHjo19vwSn0
twGkqvds0Tj8NtQOzR6YA+V1b9+xj1DBt1ebHmj7WMYEbwuHeHtsVrQ80rFBE+f3l/mLccD1MaMc
veplIG6CWuOfGx3uV3SidWrg/Qc2dant1aaN0D1snDuQZdV5Ugkcf1POHllDnzROsGwDhMqGpMmX
aXHYQl76MprmZXQ8LiIr1f1WjV4ZzYLsYdkL2EZO/u5axGY97ZDecXgZUn997DV+2+s3zFe9R+3T
OWdzyI+/v8PgqvT8ewCO4IiPjhfqY1gq/pptGAgXa2S27cHnw3HE2gc0eU54/Oz18V+L7PbDot5E
G9560fSH7PmnkczHz0amc9Xaxz4aUh/C6Izp/VBfjQo63z/WyD6E32MJID5GsDckvv0swaxKX50E
onnWYaJvFf3TEXR9hx+vAqJElFMwTYAk9cP5bOhaNfDk0of1yusStWBW55Os2daliDEIOGE3XnpW
w6tBNm0JG1RkfYDqRAS7NLgvFmKh/Dz6I3jepWXHRpm0hI7WLzRIU1GR282/eu/Bl9WANC5aGZx+
/xL/RQ93rX4ILh9LNfrF4gVlAcxDFng7eYL7u7Gi6ZtDoM+8qF1PDpd3iYdQZ21jVOEN3H8Zrd6+
dLAgz+DGCubAhG8Dr8XObkuSRRLPIJn7aOf5w1e01AGpYKScoxU+3wI0GQ4ixOv4wz18jG5YiCm+
iivGSg+vO+7Da4BBTDVYHakD/CtongKK++qx7QHk6c51Dc7GTZ/6xbHSjawqebAcAmChJYYh6oWb
CFnnpHNPpnMOd8QFRrpbCvq6Bb8T4A4xtflmKsT3Ci3QomcBKFS6Wze5FL76U1n4sbmDZgCUphSi
NySOkO1+FER2vudLeOGpgxraHQYR4w2Zquhu8CZE1EQ1kCuFd3AIPMDls0fTgwDPh2Vq1rcNgR11
/4dN/tOy4sMShzoTvatrYyuBSvmfYQxfRwIgPOjVAXaH+9j1HNBCXB/xNXt+tgTt95CpAxqyTZlM
8F2N1NaWlkoQz+H2VBu6S/X4cv3qg2yo26ODQHfbSkAu9zXUZxnqSyBb3eqVNTzVMpsIHI1y//vl
8TNL/ngLKawpUG3GmBB9VPhZMmxAapb2ANCJwCl1BJhDYDqczhWYP5vAdrKrMUfn42mt+h8zeF8P
ryBDKzgslpQ9oOKgn5rAHhuRsNdpARgE5l5d2qZzJzD2VxKaNmetxHDH5HRm3gSq05vLJWr3NPHu
e8QAnIc1xLs6b4DiwltB/CEkhsn1VfzzPtH9ROGK9QOpcsI+KPM1yC8MbGp5AK5d53HPXuGO1WcY
YZA9WUZYzWyd47nqBXkZPA6rIi5v8C0b4Vewx+uhBRR7S5t+RK+7NfBIMTWAmRgTTyqAMOsErrXj
VnKvsZ+UhDvobAUY+JZ/ExtLPwd+JzGG5OE9EyrOYdJ69SPgYgc2aID/X0cOfRete4y5Ari3yt3m
8VvmEiTnElxywNqHzi761rP1cLOR4Twug7qR1ewfoO6Ah+8akBOZZu+eK/MFo3GsI5yJqIdMJLs8
scnneLK7CCa9cGxdgOKMa7CDFnI/CfdOePWVtAQhdEAXAQjgVkSTgwYSA6xSUcCw6FQ0OwgiqkJL
2gPhEIfGRGw3kqR61UmUXFgKwoDBzLNeSFu2BN9TWI+bl0N3vubwhO33zRiNWSIa+mID9YkKXxXb
YPvbLvYxTw/THQzmn2V/NYgfATP36y0ce9tyafmMmrd1BbHASlMMEeHhzrt3ReVZTWF6g+DfOCTr
CyVZKoKdYci8IGxBFl4LmGmOHVihyKP0PWyWz6EQ3xy0neAA/hdxZ7Jjp5Zu61e5On0kYFI2bgdY
dayoww67gyLsMHUxqeHp74f3uZK9HOnQPp0jpbaU25mGBZNZ/P8Y35i3ug0GBiqVFFeKrL7Vjfis
lFofIJoRvpwt47EdevO8Ajk8Tckdv5pF+bVk6++XEYpmlAc9MHl9lc33dGU1TvMdQpMt+R6xZyLA
22ROVGyaztgBXJ38pc+nAHHBcwN4+K6d1AdSP26bLjtwwt5mEOP9ul1Mz8qzlxGb8c4elmW3Gr7J
FkJZGcsk9/SERJqBNiVFqn44jH2V+mNLj0WX6Y+iM6x7u0/VQMnjdmsMTRXMqj1sK90czk2fj7vM
Vezj0DjX4CIfDUc8a7Gq+QtnbF8vUJmwPUyu1C52vVlE2k/5kWdP3F/YKLTghN3RKjXu0Kyvm3TO
l2HY3FME35K4wVoBYN2DHb8Veu/u8midxUy79SrZ/5gVkL5hlw/7Ee/UaqQvkbh3z+RrRIe8mqnC
lHwGY+XkV7xUHArIuc6WyR5q6g2VFBTxqaX1jLzDQto+ro8KHFbi51Qqv+bDLLbJkM6bZi4kU79Z
IhlT9bOMCkS2i+DzGIWBZd0ue2wYlc2k3RnXXdkgbRh192vCoOC3ZcZ1XxBrYoHq2BrzJP2Y33/X
VplLk2sp9zQK0aMS/XDdx26511Mz/wrdytg2kdEfWk49d7Kt+80Iv+nOTuithkpMJEE+B41bf7U7
oaOV+1EkjEyCiBBFoPdUXfml12S/4ZbTXYpS+UtuR8eFbgHEiztKxsxK2XC3dMvZMIanKS0sOH45
n6wMT2GUK3g7GuTOWTQ/LIac6TtQdYr00DhgGamPlO6sQHV4kSDOJcCM5DUv3CHQZVN7buHQVnAx
RzvJyRqGLIiiCjRqIVz+2hpebtL0aMOk6bUQVX7UbR9+zdysfa6J5DkjxmLvghB39Fo5hRS1UhVg
tZEXgQN9Y18N9RI0s3NOOg0DmHkKFcI0CivfhKb7YPHmrSnKv5XhbBxjSph+HvX5YYjSaiudvrme
tWLCYUUwhd0Nt+i7kIKppX5lSM3eZ3Pf3vZCEd9wTh9gOJU8LYEme+QAY3EA8keJZWVJGUd6Zbno
2WQMh3S2mOnqPHy11Va8oPtqntq6IHUnV/S9UZnLTVv0HFCku9inCI1G67lT/Klnufb5msX3LLFc
3IVweHwY2M03yyiyR02m08laciMwszTHjBYz/TQ4WtpOtbd6El0j/Pua60a5N6To75E8Njs+kfyx
TDJrj5nOb4fWeVYW7BMMyGo7pe1yiPuJHlZezjW+McO+HwZLOUfOIAKpkepAP454ohoofWdXE4Yg
vCBJtNyPi9NCAA+tTxnVj0AdZ/mUmXl86Btd+RbO9vBWz3N/yEXWXLeGJCxBzfNm8hQjV7yQ0I+t
CRMchXB/m1gCyXvn2NDbETN7NtqJPZ0fy89Q6eALwRZXeBWwqatCm+evI0YGL3GE3IpC0E2hoLar
KnRDkzEfC9Oq/NaV5XfccrO/sOxsaLWnlM6G8aynmbGhMtyek7INfZSIoQcPX7xm7NTXLvdzNbXR
ajtJr0v0v5vKmLuT3k5HfAH2JjZZwt16yp+w1VmelvCZD6YRP8xai05tsW/KwdivdPxDns+pnzeY
/2AMh1s6ZO2GTRkO+NmE4IzFq7KiBx2K5d0cUuJNQjzyilQZ2IpQzsz+uy5v5clNIzSRiDMEbit7
GQ5K2yyfGVOuj8+H1xLmNjajMPqkS3N+Cru+ODDk1hrUcLVult0JhVtistJFSEM3Ipfhkw059xa1
AxPeNNaNZ+c6DsQ5HvdzzYjiCJXdDIq4TQFdB5NldL6mC9ThZSb2kVuX23mYjJ3sx/pUlChpNORM
SJ5sZ0Wk515T6N0h1I1iC8BXYGapZXJexrD+4DBovLf9EnCcVdoGBvi3iyNpFydSK6BK7RPOvldD
73qNooWeicTNK/rC2Fd6AULerXBTjI4AFe3WYAWtFFNtuSzXS8jwCjPV+IzujLNHFN+j7zcP7DK7
59Dux22KnL/cxGMyQ03ujCBc5uZbVy/mjzDt0e8rmVp5FgrUe70t+4mx2lfPrbtYQZ9aC4oFIW/n
NLT2NSY57ImQlbfg9q+LLgazHCl7gBNTwOz/BtgSCQrxUd7f9+IrnuJyi0pz3KJsA/cB8Mbvpwlc
ts0iFxD7um7OnuD/GoxVVm3qac4/uJR22QwBBkUhkBIrPUgD5MTF+1j6QQ52MRV7W8EKWgJLOxhS
vnRjFvvgtudtnkfjvZtb2yVCDuYOaL4iWateM7GyKsW4j7LuQEkBcZZYHlRbmfFPkzCiIF/64IzC
2e6dJ+NQtVw5LtSfLyt0VlO0jhhQprDfmwINwuTBxkCzAXSNWD4Rz6ZIoa2D+Ec4y9aUhJYNRlmE
7oWjbIxqXdpUudH6tkRwXTDEMspPPvjytvfickhutUiDNr1kyU2HhuyQzY1yrpz6TULX9bI6HPnD
RLmJWHevFJsO/NCr84+wUdPTYALBQtm6a5kOiQrLa/MzSwKHBDHNlH4Bw/S+U0fhi75M1rE3ioSB
tcrMKRue1P5LnVQO7jM6uPgEvqsLNiYtjQ366sxOzEnpVaOlp2UFAWlq+0wx/IQfwgkqVXXOg9HK
RzIK2pmPKWFTkur5pseBuePM3wWuyPvrOl+SwXOWFFaSFqKrNJfyNpoTAP9ayvRhN0eUhNqtbeTp
bhzrY0X1fIN5cUScQLlztrPXpMjltyKqbuIk1gKinb5V5XSKsAHvkO9cY549aBqaN2GO7R6t1C5L
l4hJixAn2VbtVT2rNyoMjjPT7fc6GcWd4XRRUKF/RPIQTwRD1jpSBDv8Jiwt2cEym89JXQ/nFKsa
O8iGKAkFhXxOYRr/bbg8KGY7nJZubX8rlfBCS9APFVMasJxFWIFMvBbK9FJEEfN76x4GQDao/LEQ
95ynp0bg29XFWyQUQgzyJwhP5jZ31uAqG7t61UcCa+ho3vU9wsQijrQ9gUSo+PsJJ0ZVNn4oGAg1
cpcdGR0KnpEICayYk02Tam9pkhdvCxmPJwPzwxXr9uJzoFmCwiLsK2aoBy7zFNhy58ocMIg0WS68
yRw5BAtaA3+fW37W/C4nF5L9KAtDszb+gE/H6lLGcQSqNdKM7N4ZTeOZWDCVbbFh9uRvGll2qomz
kuVU7Kwoek0FaoOBHTRWvHifwa6/jRf9GvOJFkR0aZDw4mism+4ohkxuzbBbdpgPy6PIsq80P9d2
qZrymBvM1hEZEpqb7+pGTtcuAASvMicHMUHUeLNleTpARVIcYBSLOa34u7PavrPVWWOXkjvXzIvC
D9NhucZ9l0J2H5OzVo2MpVrsFl2Cz6Y4v5dhn5Hb0HwAHnunlgv4lTI/nTRHo9pzEaJGxwKSSNnl
+1rj+FJXY31PLaUGw+gGxMG2bMimtPYzp3uuw+a8Vg7+/vb+IBuv07Xrgi5HiSFWdcrvS0PZRe1g
K9RRcQIGWJg/V/3QeEn1aCXzJl7iZ0U8WuRkmgnOKf2Dq7+zVmiqIJaJBYN7+Nlr/AX02RU9/P1S
z/eUAzOwSfUUSG7Xp1w37FvF2C6tVQVWUbabYsiWD2RAf+hl+O1c3rHXZq+AA3ixVCnkglSly+Un
CAKbuFA/tcWU+FqtP+hp/Vgu34qOGQLZ0tZIAkJwfIoIPkYvx/sph7J1DPGl9dYLY1d3hvhoKX1n
cdKwEYBdRFOAMG7d+vzyeFCBqGrNxnvfkCTSd5RDLAy5aRYY/YCuHhwFAIJvtmRx1PBOPFrpgh3C
sF/7HouZY7+i297+fbxcNqh/PjJzLb6vmia61L/fEiqzcSqckuEi8ucoDD8NpBFRG2nZvQv1iRi1
5oP55Y/G0+UlL76RysQxrHHW3zuz8miQDLXN6+ltmaLvaOdVhAHlbTLlj8VghlQiDCNoHO1uIlgI
M8N1qqfdbT2uzgy7Sw9mbMnN35/IHx2n9f40yvh8RZz8NO2iyddIKUkucQC0NfXgEdhgPMxdfx8z
rqpO2oc5Aq+RTfntSJ8ZnWp6tzhl8cWINIKAKku5y0ZY+a2O6Br5NZ5QawlRY6kkGK65MvgFHH8B
QeghIjcPTZO2933pOhwxFpR6HcopAqvQw4bZ5AsrSXdWan0kTHinmMuPZIJfZ3mdXeTFjxywIual
Bu24KeIrYcEycEqLolteU38wb1O6mByCjThIQ0cGVcVWbqKOhCuOcCond/VdophvLpiI+wyn4bEU
xn3ZipKqv5H6Rg7kwsyy2vRU21h8lWM3fYIu2iAPTLex7PcCQXfpibrpD5luBmC+l09tX1zHXfXR
Z/dne2lVVtIEWAOe0ZZefHacF1TUnymdTtkVARMz1aqqNz6bUuluVonnAG3uVdhoLiazJLPFpgbV
9K650xBPmYNNgiTbt8e/j7P3vjy67A4MRYFE5LLMHBdtpCWaXe8Hw/20kFvWzdb0FEqoIJTVyaPM
sEr+/ZI/uwwXSzusO1WgzlfJJLicgGLORimW4HofmynNNKmXnjTrZcfpRdnOczhd/RQdxF1JqzVr
s82IFWovQgMtkfPxi3lvPqTlSUvd5klYl8eYQZ2StBEgmpEKk0foLP4QTd9xAQlvqHv1HqfMlppE
9knLwTUMMc3xMZVfGiCiiwNQtkrU0EtyGX8wYt57NTbqOt4KUltbXwfUL/N02AqtKEa4zeib9qug
cQM6Nty6FVrSbpwR3VJ3+ujd/NkGFkieLYPmoev+CYvmDK9lc0m1v4ZOiyxPuEecbXfa0jU7Biq7
7Fw5U6q/020ZWf7P+/j78FiXx8vRQcdjRck7hKNdjo5pWuJGxfO0p6oZ47XBJI2H4PpnT0mEgrps
n5SglPR/vwbp7DRRcVoaAt5LJcKEBCnjmF7vKyUzfSMcxpuKrl3XuIsfFlZ/kwzaB5d8b6NGEoGx
dr5NvIOXsgISeAh4bRBcsyVl1h0566dAImrM1j7SnS3dqw7Lxmj4suE8oajpB+/7nTGGmGGNK2ZK
0ulT/j7GpqnOHS2qCTKfzW0v5y8Jw863+gQzcHaHIqTc/eu3C90aoSz6HoiRl61+hXWgEgZ06yyn
DhXiEtqDtEGdK0f1wHmLKK60v/pYTfnOR75CQVc9v4PA4VJMqTdGQaAhnU8O/YBsCjc/IEs2+MKn
5oPt57poXQxgvqF1/4s0zOWp/v5MCQ+D62LldFLVnAA3xzyXC+6ZyDQ5E4x0tf7+RI133qGgOrwK
KAzqZ5eDSIwccAdZEujkisEDa6MdtKm0HkW/FPd46NPrcLCx4yTpjaN03xRYJJ5hScVDafcVppqX
zteFZi14uV2gz2qyazpnvMPH32/yqlav3J4Tz7A4w2NtYPPJKsf1zW5atskCHcSEd7G1rNHyUAge
mF7lZhDltymOy4cyXU6jOb1MTWHoHE450DdYYj2NFthWrc2RDa7EXt8VeqBWuBuqYdpXyVh9a81q
2q0RkA/0lj9KzF5dJJevCKYAZmUcFxg5Lk8I4wi4awTUskcvGbHlTW9aKwpSPnBjfSBrqV8DszEu
1Ze6dg56990JV92ESmR4ToAXUYb/vS3/V0af/xh89ZuLh/gs/nPp4fntf/If/6L/vQSt/+j0If6K
GhmlH4Yw+ioss2zF/7Pn555Irbpv/k+QDEmbVOWvYVzv/lX/uIBWrw/lXPjKJtOA7aybkvGt7f7v
f61JW3RCKPX+1J8xJ/2WtCVI5WIt0lcH0aq3QSPRxWR4mauriOnEheDLlAJA+f/niN3+Mxn8k4MW
vVX//d9/tY6sS/kvU8Z7T+DXpV6vZkUnH3rehxaxthEIpzn/YOJ99xJ4RDA1mdgbxSq4/GU3IWar
Gyxs8nsydDmZ6ndxZr398iLe+RUXE98/v+KXS6y38Msl7LIYm2kiqTFSw6sqccEpkHsHCcGzrTj4
+7UuvuCf16LwjL6GN8NacnF805yOqEphMFvU2RMu8JNo14bsuP/gMhf7oX+ugxVNJTNI15kxfv9N
aMa1UdUAqIi6704kzJ/MuHixe9RgA71zddAoLlQNgqPmnnCqxzjV/D40dlFknNSU3J9cP8OxwI7Z
x3czXgOIf2+cuAuf5KMrLns10fRuHYjkXZPcAlW571ssJKXsCH/Gt66MyrlcT8PgoGMvawYtUMRC
Nrn9tXbd52RwT1NZp+hf0ioYE8M3U+vAtHetDsLylspG3uIKiQcKEGPpag9NCTywnMKvikWn7oPH
9ec4ZivBZ8xL4URxWfbBHD2WzmxOkAbcfS5bzUN0ejWnqfnv9sbra8Gcy3VUgzAOvr/fX4srlnru
pDPtpyR+MCN6gG7oEturP+sxagjL/WC4vTO0OaISo0QhUuXccjEMRpOfsCjhtCfzaSNKSZue9mie
Bzk00L8/w3c+VHIYaHGg00ekdTmyGQmoa/oaCc/aYq/BzdvuB5d45+NhfyLIYaBAZpmXg5oCZDIu
kks4o9hOSBIyBIBDVXwgYvpZo7iY1pDdoupf/YQcYtb7+GVCUGM3lEqhTnvUw6rXVvKmnupdhI0D
7TaKMSoUP0yXSBiqvYzv1AdNN7Alq99atbgtHeVkjfnWAqP8wfC5PIL+HD+/3tn6vn+5s6pBvcTz
Z/y47rFtJmhfXfswmZIedIfF0aStNyjOIdKqozklBzinOmro5oM0ivfeNasI649B9gqJS7/fhj7o
TSGiYt4vIOobU3tAZPuRL+69obtKKfHvAWe3rIuXgCJB1fKmn/cIt3L1rrFv4tLZ4iT74Nt/77dQ
7URUyHkGyePFdXpi+SIn5pOM9C2YSUd5/vt38d6gNSigoFPGsWtcFrXjsVyaTiJto6WMyArgWxhe
gwL4QCP57uP65TLsE34dGSE4XCceWYpz45trTXTr8ErU6AcjY/PBD3pnbXE5bTo0mEn1Ak74+6U0
pRpaDcHkHqPIuQZS44nCvB7UYp3R947eo0XQu6veag+jnO6ItfjO50ZwrIEY3DGW/aQB3JzFi4jV
+0Z2dOZNs6esj5bNkM2bQ+831kl0Jwj7R6vCogN1fOU643PvRLeJLr7KZdixAX+SGhVCDNHCy/sx
DsRQb5YsuitSNsMdAOjN1MoziphXOccnInBf48Ld5pFyIAc6Jf25J5ds3NLwgJAblwHcjw9mrPfe
ikmxml4GRxx2a78/qhzvSZNWvBVbLd7oEx661m6AIUyHVqs/+CgvmxdMDpSDrJ/fJAVYpvzfL2Zi
tkngmSx7+vADvEyaa7Xp7iDD7aOp3UZZ8nmh/oKqRXvp6CMao1Z+NDa4xO8zJ7dgY9ukL4M7/DIG
zpzpuiIxU6lJqaeBEgiNql1u2R/M0H9+U79d5mcR+pdp8H96mXUgX/4agzYQIbdEyjmXJ+Iorix9
mBLent15NXzc7mAWsODa7VR/+uCjeudSHKTZFZJrpf8xUBKt1kDdmMuerItv5UoBTGTpAbb417Md
gYBYvihQoYBgx/P7GNFkPJD0Pi174D9epmsen9T/5BLuemhZS3H84/dLjGlnMBEtC3WE5nsmVVrv
/QeliotO2c+RbsFVIZGVaUhcDjM7Gps5q8IZaKEOotf8HgHl9sLFuRmL6tlAUUJeveaHVV5/8EG/
+5FZrHjaT308ctnff10Xg+YyaC3tR4DZwexqm1RDOezmBpIiCMOGOpSbXNGOTh5/Jyml8ahj/fj7
YPlzyeL6bB5ZFDkT/bEPAm3l5mYOs1GV+k08ZEdZGvUHWw3qtesq/tvw/1n3ZzCK9SFjZ/v9p+p9
l9SK4fR7p8S2J6ATg/7V3trmymSirPpxDwTRmfeKuLIIHM/lxtWA83BugEWrfFbnl6R4Sw1Pb3Zj
eaeApvsMUWiJXmW5KQxY449aFHsF9lV9usknpKEhCGL9c5UeqOYfBeIf98VN5oe8L0+izGN/yPtk
kxhgx6uWqFIFhKprBZbOkUPgCktzOkC0hgpNXMdx812uzcHws/ojzuagHgD7x4u/uJx0MJ/ZGDOa
1NhQYN/NGk4sxd4WmC+nGgobJtKpA2f2JpFDDYXbHtysqFlQSzwzaPHCMmiRfYJpJp8kxDlXGq8I
PoMSx7aNzKHtAaVOM7t7zOJmUCvoHSOvMdQTeEyQvdykWaIpr4ftSofPQMXGAu4ilvJJljjKO9+R
5t2oF1dyfEFS5Tv86FbfMb1vy/jFBZALeT/OnsNOv4/LCpVARl/GIH5Jd/ZYmg8aav8+PlvV9yQ/
gPbDOiE9E6+9ixRNV9RDHyEHV2hXAgaVaYFeQqIpDIc9sLcQjhLre5geVa2g24xZus11r1BRdxjZ
TgXehVEiC2qafX5q0FOkBWELCNr2Q8dGiiHqCwQjbB+estIgeru7mm118c0Jjj5T06EHHcAx9LMZ
c+QmH0CjBHe0XTi9FOkGnDz1TZxBkzOja1nfj9GPNowHzpHtxqrm49zG6w3Euw6hAHrW2quzmjpz
8pgl4solzNWMN2iHOYiMm646DnWgDu2XKer3bjQ8xYZxMPNHlyhwu3Cu7GnZVchIO3vcleGjDco0
ixa/bFDX1FcpRVAyn0CAJh6AWJzg+xJRDGgfratuSAjdu6Oxhfl1O5DyrCwSdXz9yPz4GrpXlaEH
MAhuutb0EuS/KE6rTZdAM0xuBIBxcMPzvnWWa6ta/EmPr1LMnAncjUBIiNKYSNFvg6vIfAAZUdgx
wOWGIANyr/WgtM9VHQWm89hGGy5rmmBb7+T0Jnsd4fa5E9sahlmlYIdC6oeY3ujPJWLLKOjpUQys
ZUPTeUK+zv1dX9wXyt6J9okJme4kqhvyNTbawP7+JUrOeu3LlyI2DrhYh/ooeWIS3LvxMk8YNskd
rxxEe6cVP96+NVJDbZh5gqc1P1oZ9AeLYIiX1nlEpJ8kyP6U+AvnYFpWMAjFbVm+aIrl6/qN0Yde
DR/VcQNH7qLcDLKwhhRe83SqrTsOnqq/oAX3RR/6Uan5stB827wCEkUyxnxUFnXv0vtNJ3sr7OXO
LB/14gcOUCjTh1K7Iie83oVN0OSNBzp1406ttQM4gINiqpfrDqB9YCkwMauVTtnJF1Go5yEK3b1d
C/ZObURYRbkEo4l/pYvzAO5leWOX9YakCQjJWLQQA5xs2QaLOgBBiDgoQvqDIj45kydtDRQZSwY8
NMfeLH0iv/ajfewGtsEdaZWeMsaHgVoKTl5nOVITvE/zNNpSU4p9K6UzHHHqa1311Ocmd8jZacPf
GXmGGX4HA1DwZzhHrH6U+ySxF19JddRaev/YWgqpPqQmGLdN0p4Wrfya6vomdpB9orXHvT70PdgX
hC7ZeMi0uQXEZ2uQJCqPgDq+Dlk+LCmgtWLpUB00MzzhbrjSMzCkU35jlTpp54AbiqKwN0qpevZQ
7oWxmPu8gy4Ghjn2s9Q9dyCQVSv8FIk7Wyc9Mc0gFk6+iR1mVHCeuMMutOcv/RxjRsWD4c1E4wUA
90FYaBNgc7FVo8EJKBJ8Rkb2MmkKlC2t29KgntjyG/d6w2SVdfqBM8M0xn6Mb5qc5cocqtMyqwbE
HmpX6GDHKJ09GFi3YZF9NTvtLrRpihomkro2Sc9N2B9QG1PbBHAU9FBx5JSYpINbX8gLOOf1fGtN
4os6fOvM5DYFRJzp9mls8pNLLIOnSzkw4w3fAK/Xnmy0p5QCqTe05vdRfsEn+FWAaEOrgD5bX3wk
/3dZrZ5gvj7y6n7EJLlRHvzeyt7k1SunSlmQVY5nXOZAbZqb2jJx1rT3TtpvgUQDDVpei9asPUIP
mLZ03+4H2ikTbEtR8xQ0GeTudBtZxbM2S52liYAEvoHZza+cbCAIhJgbuz+MpY19OpSnUZpf+q6O
WYjLI8S174TbPNF+ekxm9xEeo+5bhXiUdnjEp7ItqumuSi3fTuMfcbrqIRT9tV5JI6VOOJ0CSW0K
90WnBJrGmJpcYi8qlxxou1ITP7PXpTa2wk3qjsBt6+o4NuV9FeGrrTVgJ6W+M6G0dzYwaIH8CBdk
jwYpH62HLCtdtJJ26KerSsxFe+G5YGluQLzmnm07UPXdZI0LfAxb/QnSfOcNXXVVFNUX6HB+WiGJ
UbSq8PUlLPy8Lh6iKXutgEaHriAkvm1S35U1EQF8mIrWYtow2sbLsrne2HYV7bCs3ofkRiptmXvp
2hNcohYirzjGCkY0tKoe5ll1E5WdGuR9t3XU2Mcqh6COfyn7O0fFwQEKJqBmvwHa5rca0GXLYCTq
jTmgqHAOzWIxMWmsGq4hbf6ViXC076m+jJSpogYb2jA9xZ3+Sc8b30S/Ro/M+VQhxw0cbbxvaPl7
YhoNjJokZLOt8lqW97lojmqbHRRaqiw51lYJo6dcUz4hl9xoBTW2cXE9zayOXTMi/aTX1aYsGBRm
6jS/1UPltlXzW072B2IGNqOx3LaNdkI3z5k/yZ+dVD0mBr/OGrZLSjhOpmh7Ygsfajk1mww3rK5X
utdI8dyXfJywrk8pCEdfqslCU4snpQ9acVLd8dSnFUJXCQghi+TeLZV1N1ECaLKvJ8U5RvFwV+bL
WxTDFjRShDn1xP7ViJ6LCnkN3jEmxBYVpUXlTmlxvNVtbnqj2bebzLaQ3Wjp5zgfNnYKuQ8WKHjU
ZySPZAgkg7XLa/2cRflNaMrVXEhNg2L6Yy/Y1k2d6WN8esEkcKNbgFrHTr0rRHFd20g/JLkmpkzT
674XN9h4DNJg2EDYlbhfBMzpdY420w0CKUAi+Zn9OJLPbP7UmVHst3l2gxHywaxM8hxlT0gGMYS8
EK1g5Cr3zkJFP62FV7rjGVz4Y892V03Nz4OdfUqNXCfMcLofAEhvCxSeRzNbSILRgUNWIRgVPYzA
2XRYEfX9nLUGQYzGxi3kfmzFa6mbb5BLO1/FeuEBfDvkMctLH1XusehZq9cjgh8OYXSErZhtaYxr
J6MaGgr74CWEfWaIJDtkQAaQC/juEKCAJTfLFZ5595BYw2NoZDdJP+Jc1eHkO+dUlsPWNMyvSqdu
AagflxCtU8mIBeltBHmnmjs9sq7gNMNsrrj/+GB19kbDYtCiqeeWcCSRxUvz9ktvdlu97G4oSvtZ
w5JkFZuqsz8TgM2fAwDGukxyFliR1g/Zh5KtgfyWfctI70FySjH6fKPU+RuQNLAj1TZ2+M1uckzY
qju1cWTobNR0OLqQz5fBTUkfqJ46c9kWBE/xFuZTTKkph53Zk/iA/jhodETiy7S8lIVyTor5BVJo
jjUA1fkCl11fzhqvFvrCrsGI0inTrdOanyIXKv6S3qnKtzza1gsnAqA8h8Xg0y/q+qpNQjIi8Fam
HEFiamRIj7d9N27RquzStvteKu0X3TX9QR8OpcwfOj3cDCnbBeLkyZNwFNVv2Ju2SAILd/yy2Dky
43bTGWqg1uFm0W7TtNiRuhJI+U3OMDozVI5jhs6IQJ9GPdmT9lDXYjuQF1Sk2V2PO3c0TgPHDkPF
Ja4qL8Buj5r2ZWUR1ETyZM6rtLd9ZRzF8kzgcCRv1OhNH7pDLbEvjg5vQX10HAzSHWKE5VAUcpM3
1m5cFDKP3PNkqhsxtte1doBVT57xhoV2gwjsyqm1ezAA+35I3gr9UFafAFvjLiSLCDZTgAjiuqyJ
k2tt37DJAIr6YIaeWq12ww5/tl5uTcnDgxsUzAa5XLY8LEW9g/ZDit3k3Io62bWrWTtmS9GSoaEM
yMrHvn6NyDHCNHkFhWE/RaHfiu6zHKODOYqOA2F/rbLvtWF/GKtJUd/ZYXHueqZeisM6+b4UZpSZ
xBYTzJLj0kkjMsYL8/wYOeWdkYpza1m3WQG82ARM7Y5XVhLdjfjj3K7b9JzORG59z+L+vpZkbKX6
914nxQBY43HR7c3UN3S5HKqzDZM9QTizYfOCm9NQu9d6g2Kg7D8nA/UuvL7CrE+dO75OC9WNEvMh
CnQPeanqacuPsiy+12zEkfsjzo9vpFk99IzbPLrOOTF6NCOKII+sp1JdDxkjng1ShD4TT2xVPXrI
E+aPnbMkjNYnl1idMq0glO4t7I5VvXyKxx6jhPqQEi7mdVnyyZJih+pnR1dyZ8/VpzZhfWliNYhq
VkWr36pzuicb7jwVODXtaxA2WHNRH3Eohn98dAo+8yV6mPAdL2107BTxxNQQaJMNbGk+62N5wtBy
S9OUHrPvlPoN3il6zvnt4k5+aKjHNpE7dVC3LrO5Inc00vw5Mq/ypYH4pMeBCxh4wQXiYRPbLzHz
pAL2Py4VD0lWoOXdgfxDyt8wyEtefmj8EEmFKRMTByzW4dGtkq8mhHgxjEeTtANDre9gVULSFFui
VNa9/5rFld2ry3hVtc1W1JbXpPorKcC3Q1cwx1nyOquza6XFL680LLj2ICkMmBtivV8Ts3lKcMQo
A4SKmPimtt/X5rKxl+6TNs4HQjFAAplHbO67fHUXZ6uxWTtGKg5JsCA7Wd2UunqF4TmYmPwVvfrS
ieqkzv0NuBeCFdNrHEKeXMTOgNFt9N0BL2+gh+si3AeZTL8wEH50xnxD3jyr2dJuQiNK/GS0J7bc
ms8pJRjWFCq6V6FBwVVx8LTC7Fxzk0AxlhJodkO5RhgIvwn7I7DuWEkYef18EP+PuTNbbhxJs/QL
NdqwL7ckwF0StVHLDUwKKbCvDsDhePr+mNM2lRmZnWldNhdzVWUmyyAJgo5/Oec7E5N8aTlbjOSA
2DX1IsVwTsx5x2YmzA0EtV2wdXV1HjV5ipHJeQn6o25+yOhwKAP4cROZZbIKd3mz3bFKq3tfS7kn
ZLHKRHtX6Dq4kVKe1BLzj8dn6STw4rikuojGPsBSETTfABCierrvkPHbbYwd2byxZPyJZPTNbk1z
3ebDrV8qqjplPmA6J3VI1h+dBlPNiNXTMuDJrESGA92bj3Wnn3ELHDxFSVMbe2mYoMRc4kzkUe8R
S5Ogs+ln95T6OG1IVYg0ErXadt4jOc44l0g3HtLQFX3U2yXUgwlWlgmVUbU8zcpDmQn6yCaJsqb/
MBzCkQadSABcxcGMhavjA+q9G6WgrgfOprqXhDPVD4OTftUlv4CkIEcv0MG2m1Oo+TUJGvLY6erN
nt0PLfOYZvW3kkdLmvWHKtZeE/DWXjqdazvduCioBj+N3JzfBP5yswNFbJZiW+Muxzq3sWUWQnKO
bCoUulTqcXnjqOQh5cuLs+FgF9rGn7vQzwqwAuJrElSR10xQgnu4gXt5QLG8X2rxpqcev0U4bBNT
QGVInC3qwZvtW28UR6AVcHNMwrAgyx0AYb5p/RcmNI5I9OpmboULIMwWc7dXO+veR+yc6uyiPLgc
w0wMqLtdfHM3zRuxHKxA8UVQF2W1fmJQtMIqGs4CutUidlnsnlzmO70fX50WWFrSsGDTQPvNxYyp
IbAKYYa1WW0Z5m06B0+6JKgiM465+bOT7blMq7M9+Ef8fU+Zq3+QRRVq9F+JjveWQ87Uqget799F
IMiQiftN0DLoL3Nn2rN6YJtmLLc4hnnw6GFqJxtJWIDXHgrCMXMrJolG099NyYO5K7Zq8O5MFWtM
+pZDspinKs725KxthwBC20RgjiZvYequsZ2vY8M6YgLfE2LOOJPyd6rMDcLwflMOV1NIQO1vY1jS
neqG+BFs2WppokyjjqZf1MLYdwHKTdpbMuQXgzppPzrFfBq9tt3gI8Qe72Jo6IbW2ckpvVimDKis
B9CkbXk0GueHEkC5C6buq7jqkJUEDcfZ9KWr7n2utddaY47CTdhX07M+eOtKDec0tX/QvJ6JyLlw
ED3LmE4fpWDE5FutKr85oaFWm2KCvilajYBJDerH1vb9VzDMnzOpHOvR1s7ONA4hy1bONC3R910x
fcoq2YqRD6dlE2kS1/Gl1z+PSt+5sbWnPSUctmOAJpejqpezqSu5x0c40JPr+toSFF8aEXKJIdYu
V9b3ktOssM0tpvVz1PIpHJqc7ep0mwb506wvt2Ca3jqZnnOmorxNgeWQeZ1i5acVFbzEhnCE2sJt
11d40GpkQNnwatTZ3VzUn7Uat7PvbmoGA20uLl5lvXp9s1cjvvzGZgzo7OIGT3EZ7+MRA7XOVEUY
RAqVxoaWnzlsSxqcpj0MObev0JonP2/vu6wno2O5ncb02AnnLm/sG8cdMVOVl24Jnp0BTJipGOV6
s/cjmHSQ/AH1YMOnyW85GjbFOJ1ny/+UJcZAmnVXMUEjjqCq2mTtJA5xo57x1i3F0YuHZj1NeQhe
5dny/Gcgr8tmsriacF7ENokRHHneNeBjsp4G0YEyKyOShs5Q+RmHtPi7jXYvCFPnkzl7XD+vzlyj
6HY3CcmFmS6xnMPCWM816SKd8w66JFSjjMq2OYm0e8SKTkPr7LtxpFsfoiHXCNQ061tb5Bffy35U
ZGt6Q3JRDitwGuNVqsRTac7PwvcutsdYPrBSDrlrr11zYEsc0+Tb0oS34H6mLPTtFJq+5n4aXp7w
yXuTiWHx6Pd2BPksCnw/UiUkG98gt0N7KOPiBpJtxpZqDpuuu5ECdEir6eVvyxCJUbaK56PR+fYq
x6+56mnLwqLtojrviEZkxeb0P4TbH/ldMtDVRfIMLe4smpnYBhG7x5ZO0XLGcu348ylbXCrAvGLI
qwcnQgcewGLf5qORrRpNHsWobTuIqo7RvXuifbTj4kDfsvdKZ98gBANmUTWXwrY2rpNuEsc+L27y
PGnyE0uGGUFqIuagsjdyRtXKDpqjZJj7w5TWYlv0xnkqvKda03/MiXjoFIs4Q3OIJUv7k81YM5uW
vT30T/jIwqrhX2F+v+5hP5NhV5zHxIDDNdkEzA35o5yHggGj4/NEojiDnDhtC5tFz1zVJ1Qp5dpl
nJrVzcFAQSwWY97GCymbrOdheln5sWs1Du2+iSRXNWxyUg48mVIPTKTTBDNwyjYzMfIFhJEFtb0d
O/HRYaCJjJ42ld4/JkXWfl+wsq5hWsqvfjLNVZOaryTD7WLLTjDbiXJNpNazKKqNWugPxXSZUkAj
cZ/ctNI7tl2+sT2E45ryIMHgj5aicldkXP4GKCRqlqTivD4yODy7LWuBJqmfFmHoWPuYj/eug5di
0J+pSxXUBjowpTd7Oq9HLwkI+LNu5CxuE44G3Lp1e9N143x2IaiPXvfDhnTK14iww8KEXIv3vKFC
6/SfZj/em9e8ggbx0pokuoll10K9PH/3i51Emq/z75nTE/aWV92b7/PMvJATGbpd9sJGVKwboPPg
HORT6RXvvcevNB61deVML3qCLhsMw5p6jtQpoMOrPK1Oxpw8umN5Scfej2ZDUBtTztg85KpWReSG
HMWiHZKquks6a5XP0/1i9fwfTNphbcCrstrmzUoQdJH7HIHP23V4SmJnpmFOu3UymdddSAs4JY3o
rg7E0N4HusFPMjv61ESwgcuDMo3PCRAIWDr/hVVjCPzlkgUd5wrWHFoOGbNPkv6D4sm212GPYLwv
t76Zn5mFc7lKx1sBeOgjr2K55xry2StMBkjBvW9Pd+Xi3RYkXXpI3yeCDId+JK3GGCL96gpzgqYK
M6Txi0ifKCfPntJuy7G/6Ylq9AgNTYr8PoW+F3OLkTy1z/WJvWhATGRdk1uSga5H/8kAOdnbVcwc
ut2jJn9JRf5ZM7o08nmfV91dmhYvrQLHVEwHp8njnWHJbdWYJ9+tt0T+nFWcHjo5feqB90qIN9AT
udVS7QY6x7ErglcSkl8peU+Uvi++6o+2RUSxHT9kur8l0PoRZ+PTVNDlxTjzDf2SgQPr03Y/gbkY
URORDAu0ttWj0tJgOk/MjkaCxFWR3jl+pa1JIj8OTROVRrXtC0YVGQp/gxxBs/FWkHcPrd3dLY1/
7xTJe576EMqb8RlTwXluHgMBA9F68bTiDETkzWZEkXqAtOj9iGPpozJGi9B5n45OERE54sfErWI1
1Xa0ykPspm+6VextAtxJymMTWW11F/pryY+qk+Wj6J2Lz0p46kyEoVn3ZNXGvZyYBXfzV+VU181g
fQQ+flgaxrbp8nNaSLvnl3rtWXKj3KNjOQQx9k7Dvind5MWQbeTCXFlbCyDeXrvE8fBAXQeArRIR
GoKYmXy1CsDLBwE7zgW17lpoxk0fpOdyJpJg9A4SyxQmiXzHDxiBxXRntgtqOSBFvbUmgvG8jETu
VM0Lv2lyo/rlm5glKzLt5Gb28x/zFYpQlECsBRV4kOVfZAPu9N76uQTtncMoHlTfsaux/Leap1ZI
nPbQ3vD2Iojhb5AvOuOJJQgKMXjtPLB7TqTCkazLg0MrjHcKWtZLff80iXHvjPGtJHNzpUhHI7H2
c85rwpVJ4Ub3xOCCM21VCwciB2sapHmnXlsNSX2LKhtensnkvinvHFu+p431WBHql0guMB2v4OEK
nUQH2ke022Xyq/uuKR61yoIiNr4DYN3OTX8mM36PS/nWz7qj1huvSxF8MVrQKf6AY7mSDFDnnpXe
XVWWt3Ygt7mTHs2xOLVATCct24ikLVcld6oy7Uj5zodScB8W0L45m58PpXUvJKOttbI5mktz1/vO
q6J6YaJww67LR3vHUEZ3IUN1SIgIMXXXBPjcyAKsGjPTF+YFYZ43n76wvmuRbmePY90T96wB3pKu
fC698g0BTzjWRXTNj41JQfWsOMKJtFYuFFdmYqsaXQpZER5xjkl6bn1jLwbGfZ2+zzP5gLH4AnY2
WrwauBzkGc8rI35k991Q83UjwptS87OZGBxCcRiDfkO0KNMO8u3g0+lJsW0TtkHwpW+qTrw6Ur3r
tVw7tfGYXq9/RwlWeAY4hRJ7mTGJl7mbNoqc475kvNyzoYBfh+u7iB98UM9hrNVP/Vw8E3YQ7DHV
79vRK9dDdjOL/IM4uYM1slmVQ3psBgtX2YyRbTDqL2z2kRr8NXK0UzL0Oza/x9GG1D4Q3hmAmPst
ObEbGHkE9n2BwS/3geE2MZYltruBuQ8G4qS7Dk4/qwOv4cwfjxPb4EqOl6DJH1Smc+Kkj1PZgtV0
3W1vaI+xQc0xMRXmDP8JTw6TkUbjEeBm9pL3BlGsNertSh+7S2eDjoD3gR6HS0BXAK1Q1Rwj7Q9Z
PREZcl+S1QcSdg4t0/NOvTC5YkXZhgPpoGGmD/uJ9VI+OkeHbqGUJjg/WgEL2EPLMk/z569FHtzg
noZ/M17hTYQemzRTZMMHst/Bny/xNIdwU3Z275AkCsAcZCvhfwAPMV4u7mfflUHUNkEegZINs8rb
uFa5ht6O7fizdTTefczqYky+NOfBtJJLn/TrKXvko7ym12erqzfbmc3KNIEsjvUPYhWfq8W40cth
V7r9kw/MsyGIStduOz/do81ipbCg8RmX1TB9ZB65YuXwXsLhoGtuVhmrk6Ch5iUT/aQ3xb7W5yfe
k7tiFbltpb4bYvBkzeesnOeWg3o1pKhG+mNR/bzO2toxeegsep8rvNvCapY1K3AEB4KlwiXQPtM+
vQGUvu2YXOSVVa8lE0Ktm1mxdu+pGN5zS5ORCf995Wrddx/ToDqsLpyiuZBs+1MC+xs4wFcGW66C
70dX048lvcqlmCGXNTiTwnmyUjpD4ukUXF8yYGVkdzVfkV+v1KgO8/Si6mwHNOLcIOQNEWWEDazB
ybdPIPVuhjiNHGaKGcHstr186yJYV5oiPbKonwyn3LeeisaYdK6iFKDt9Qe7AmpFqZ+GJpOReKBw
I9H2bg7026woANJ5DHV0QIaYP1aJtE5Ezb2ns3FUzcxYgQdZuvTMsDJ4UMByhhUPG99Zbhts+vo8
g3QnxoGWuF2nM8eLE7AtsQLEFpY13KEE0NCzpvug86zQITNwlds09FWifpJRcKkN6xHEilwNS++v
2HM/F5PJUW8WZ8/KDu7Sn4Uj1jBGSAZGjAWH8izb+Wssit2kSOhSxpcOjl9rJcfdcjMb07wayYtO
6/E1H0Fj2cur6+ySUQe+Xvgn6WVM0tPPNmVgqhnvY5YckdnsIX/t8uA68iabdQWONZTLeALMcGnT
boX6k4jEMj05xLA5i31wMip50e11MW7TgrDXIH2GoQ8Yit2noGmzievqNOObrNEosyIp0ceZBTWm
kRHISuCAL4ARCj9Zt5lGW0QBFk/dJSNodqXaZTN3SqxNC6xXBqGDlWTU8I6twl9rk7ubDMk0nCc0
+KQkytNu2VD1rirT/jCzGL12q8g66dgAJiRzStAkK8dWx6qwjrKs9kKCAVrs3TKL50ql8QqK8YHB
/C6RsCdRcpg61kMTDpBAfH9Qk83ENuXKiisMSidyGojBERTE82jlyD8UmbOIHXR7RyJNSF54d9AH
9+KNGoWBx4MTGCHQ/+V70GwO72XrITAGbnSO22FCgUFUgcny35nHdTwvUQEvYu2C6TMLBCwO5VpC
lptGYQGMPHlSmrjXab7K0r8xBo2MH9L6+grOQRdUr3iKt2NK6KKxVJFOpvu6aYcbu/Gm1RxXt50i
cFtxBkxsO4dp/nS67tUykSzMxVdF2pUl+zf/qsGfTee5Llyegy7/SNImtz0RuhvRM3Nc0uEeFOqd
fVXMMet0xVSCA015ikAxtlXDk90ZIjZ6X3LhUdGzRjG98TNJ66M+GD/ZfL/g7d/2QbHnJ8RUg82m
k/uIxYyNK2AeI4Eg5wHRgCMhSCSIatLEdPetoopv1bRJk+IDLQbbQleqdbY0lOnWnVpc7skFFYeX
VLuSrmFfeurnnJs/Rpi8pFMvzlmfv+aRqBKU/1BZeVyvvPjOcX4YQ7jor7q/Qb8ACuuj14j2YQ/g
s7RSIkzMtxhKQT+9GESA9to3srowY5shyOJhtK+3IRrztQPTGAzYFXMag35qpohs7xD2/Kw2XhGv
ffJuFGNML5o4QFpUCQsj63ubRzM7Zwoi1Ero5jKStyQHp2XdlGjEpk+gS0XxsTCrzxhpzNBie5oY
M9OjwH5cYA5NRNc07HB6Bgqb0Xymt0yyNx/eoL5co8CjKnsZcRcQunwn221Ngg32g32ek1LTTrdT
WzPVfWoWTtI34RPeYG0GPwKbGZpqVzElUNAb+StDGGQsjEY/PSlvO/nlZ0+TRJdvreuxD/V4v3DH
DsP74ql1npfrJbcAoaILDO7hFXJUdJdh5NFGMLLdzWwu86NTfCoSPxP5XeTGRyy/YgTeS7rrJRjg
5KDUsFKaAemSe/Y9Hm5jpMyEIK8r3BpB0H8WdrfSheasaC/Wy3zyNWsPafaep8Wb0ICQEVUMeQIt
rQ1ywIFcOSORHAGe+JOr0Lex6zJvGSzgcHDvbXMmZtLdKYv6xeyCwzVTVVtoWMyM9ii78BtbTzno
cJhZoV2hoej00GvIaAZ9bFXcAJT2qh1ZgF45TAtiCD8iF/wBNNGmnh5b0pKLxYyqpQiBZZEEoefn
BFGuMtJtrzUMecrVSBJkrE8cjdZBULQxo9n3HpzLZHp0eMAphH1INiIispEmVXsCsOFug6WuuD1S
i4cw2x96xv2VVVjF5rNfLBwpbnvbuj4Pg34iZbY032CpfzaZRbumslA3bOJteVsmXX45Vyhea2zk
V6Z3PAwIJiempdLywMOmK/LGN//RNBlgPKRNOyepPoqs37q1/fwf1IDQWpkw7fApPTp+cRiM7B98
G39WlJPnB7MbNzF+K+9X64ge6FU7ZamCKHf01I70jL9XrLu/SsmxpvzednD9++8MG9lo9rkb4Amo
3zx7PXzmc5T8g8/qzx8B2ggWR3gCVy6F/4sBykobtJm5t+z48ggZp1j47SP8vzG6/3/oTyechFL2
moX4P5vSw/Sj+Pi9E/1f/9H/DaE0HdCVeKh0G+TWlW/53/bz4D9NWG14m65eCBsD/L/s5/Z/euQK
8SUQhwBLwuE/Ev9tPzeJriQnQdev9oXAM73/jf38T/4c6J0eUTu2jVGTBL1fzCzZVDYmguN+5+vN
p1nQM/lsd1q/+DCyZhvk9T84W/5kO+L1fMJ9uCIg/HEF/fEuJvpazEOS9burN3U1yjp4y4RwtzDr
539g4f3pbuYTuZDw8A3io8Ex/MeX6nTpT9nidLulYimcswCcbZSnv/uyz//HyvF7+/6ffpXXF3Ed
A5IEMN8/Xb+WRAKv7JnfmybVUW++uzw6YcSBikfw//ev9ZcfyMOcStAg9qZfLTs9brzEnppuV41J
f8ewxEYPoef7f+dV4MNxR+g+xJQ/XjYyvq1GQ+AHrCpF2n89l1MEg3//In++DWAUXv181zQKwK6/
vEjpVQYoU4IlDSrw20V03wCPijMuluIf7oK/fiXXtZAyA2YB1vCHY5NppGp8OXUkBbcnySbAm5t0
Jezu5e8/0V99OZ7xr9f55XhWg+sosPEoxtPlBoXbNR+43/79axh/+SLggq4cB77/X+1EbCvGubpG
KWuzuyqsl3ImlnA7NDcG2s2WELFyW6T9A/8zgf3mr2OQRH//Hv7iLQBFNi2bREXICL+at5q4b2Da
9N0O/k2NZ1TbBYIy5995EW4LlHWgFH8j+P3uWWd6FZ5CGNM7IO3qmC/QwCDZund//yp/cWvwgyUX
mE0enAfH+uOtMfdKY+nBV2aT7tTHEg7+cGAU8g/3+l9esd+9zPXvv/swM8JbT2KD2GUJk9y427Ni
y/6dC/a71/jlLgek6Zl1z0eBTB/O9YiSBHDiP3yQvzjr/nC9frnF8c03cMF5kdFoBTlWWNqSrA0O
Q4wHzBDKCP/++/kFB8aQxrdNF0EloS88m5xfDonZD0oF+J0PVRxERRSRdcOYsqtorOq7Yt78/av9
1aeDEwWJ8vpa1q8HBVtHJCei63ZDh5o27fNsP/sFq+Gu+x79Xv+Hl/urmw/n//WR60Om+vV3pGsB
I42YzFo0JbhpCiL7JrtM3r0gw//y9x8NBBX32B99iNhILZ64HLo6bupfLmVn2lJLGD3tmjxDpzk0
trFPULFL5kV5JbdWI3NCRgfdkyuj9oz7UTrfqbWML73HtAMNRcM0WqWwS/ySDUVVqeoSj40v2Jsw
KlxpSAJJzuyt53bU3P0yDyj34tjfeqJGydPJRYZzExBW1xSeR0zQ2F7ykfKe0MLxxoBKscrS4S2e
G+Rnfo6lI56z8aLc7FuOuhNNsUuAvCoPxNkiEw8qBDdUqp+ppD1nUO0+mK6RbGY3ZuJXttNzksMp
TsiJQiCygyDOgmFrtOkbkVitgFCiWDPaU0eVKwZe2yuvpqrEfzJjN1iXLrGoK8ftMFgldE4mWpjn
JGWyaviq/mhs9EqDVrSPnYyzm84WXxpduuo2sxlsK0y7odk4D7XT+SgO6KOXITsn1UPGpqQO7NMS
u8W4mszFdUPemnA2JFW17l50wnub0+HbbMZMrfvB4B+tGvIF4WcF4LbLNTka9S7JgjdbefGWMFWG
AINvdbQcvgByXnySglEgfZ1kBSk/blkJdVf84conHsFZ2WxidypH2m9NGnoTrb7Q2a+TjgHZ0Aeh
nTGWdKFwzuu08iqknbarDrZRyhedGf1av/7Mi1wHw92xgys8tmMo6RhNS3Jd/YEclPJqpUjjxHtn
MA8ajISuUhPlD/KvGsIV4gbRd2NCPGiG1mRggyKeUQcTOmL9vG0XF8unsAetxJAKrx3RjC9InTKS
8d0XBhp0Mkoaf43Mqu9PfRKkm7xqR0YwUkWDqaZnXzX13qrFgLFtSehZMfq2961tNO+J8hg0xEvm
o3l35vzBFWND9im2oka/7in9ajbfi5j8nMMsR+09q3KHhbUDPnoYp8ZaZ6l077M6jcOldQW5Q05K
jIPGJlcGjv5lDYu1c5nRoKsy3icpo3oYWApbtntbj62sViZj2dAuhHHoVC/XvEGEDsWg3tJ86kJZ
KwR1KLbYFtrJxObIT0u19wLCQlfAYdohHJZA5tgC/RkxsEYE3T8cFp5u/vGwQBpA+3dNg/dQyUOy
++VhUlsoPMHmc5+xU2NTx7KBG5AMLd6cux+WpTJWKaZTkbjsFp3gMPe++TPP3eqqI05uINaRWuIM
yValOq4a8q43llaKG6fPcQIFKM/dIkCsbddHDBIJen/f2tVN8jB66W3r2/nKJPVxTMc78qVWnX3f
zcSk0rpnKwI+w9lf7trrDEKVF3v6UGN3mrS2WDtL9WMqCdzBOlPtmyGFolG6qic0oJ+G26JvkdI7
xCejc8uiQaIV1Cs84JGrpw8pyV9RPkP2dIYAfN3IUBQcu6jWWTVrMRqLttoShGTeiHZmV6UMm+mt
Jm5AvBSbou9tJmb9Z+0JTE3MApp1DASKWbnINvg1xCmfQewSEYsbFDfKZz+V1duQVjbIVzeG9KjE
ZsiLjqkHitJtZzrBgwQNlRvjPsiML6UDiN/MtfWCm9J+HLVZ284zTt/FzM9lolfIWIL6yB3ivw0L
ci1M9PnRqMzmY0Tygg+Apf77MunyR1tDfYz10jgNi5yQHLML/UxGhiV+byTnnFkzU816YpddYZNZ
Wb2XoP8uNd0jzDnJPzOO+BM4xyG0fMS/SBAN1hn9+DiLQh6B97TjWs/9a6iPl9zGfZGP6xxRNnkx
wfxRos37aMZiOqvMw3anEMGwOi7kGXtijbptdBWeNDJXV4hsiT3H2KlHent1uPHOrcfagzO56lz/
UUjHW1uaHmxny1iOpH9mlyrr8XkIBbcEE9/kPDh1jJ0R3uVdU6M9LLthisqcYetMjAW0fL3po8x3
hyjz+A/BexjXECHySJzGKE6lNWfnDKQ6k2epHUaLdSaT+xbPbWxga17MxeAGqgEb4flI10p+Tl2O
wrzztsBls3UuKvuC2il41MaBPYAL3w1cY3LCeFXfdn2W7jSxLDc4Zoew1/z0dUzijAuSvOsxNRwB
CT/Sys8vrsiw7+lCXweu4CeZKfKA4x7R91hPz1U+JqtmGI9tlrtRgR5uj6gNZ4CGYKxvyuLNmvLi
SBuLQHuyyBlQC2sTyuJvsnaXW3vsxoel7NxhzTw0IXazpIhEwEEkrnGRY8wOnUS5FPA+K/7a21UB
JvK4HNOt0fjpczFjL2N9UUVId9M9Mk8ZNYQoRTEwpdDqmZ/q0+CdyE2+Gj0CnDJcZ2OR97aVbgxc
8OjGpx7Xl1qkvMLGXdZ+ufviyyZ9Fy1HvktG28QqGrGyLC7Sbslf1fCNV5mLYnrG9zoFS7qW84xS
IF+gnxEaB/uO6WXXvKRpbNzlnHd3xBm6d6mBv1WKMbhNiD0GaRBk92S4NSuNbXt0TRK5wcyEboRQ
HpQkts4CqKo0cMABrnVsalApetGzEii64igY3FIwBIPHOltD6W2biLBkkWzd1ugg2Npt2OjL5zQj
fIPXQDhFXRbJnrCQ+IxTJr4IhuxMSNFyZEhUnIulZlapxEbNFy9OmGG7RYpA3FGO82EV7uyuu9JA
0dTW4K57veu+RCHUUasZr/PXmmvDJEdbmUHT/ejtoDqQ4qQx3E208jF2+wwp+DSEpnVbeCQ2Bbpy
KRdq76w3OMNWiWDOicHTxwBZpjY5mQjYtsbkLSoyfAIlAh5839xbQ5TXjbkagyUJVdIRrKmX+XeC
93nr9Cbj2oZx69oRevqjc0lao7BMb7SrnsVedPbuBg4A1qMpU3BS597r0vquiCc/ZppLHlUQlA/d
kJKwHYx1dcittCR9wrWGDavDLnRUbiGfaAoIzNDDy51wDEJUFiK4F8yjz7UUPkP0cjnms6sdyTOc
wkqVYO691N0VvRRRqXvNtia5Yc3ap8YG0ePw1Xu56ox+uAfjqi6aZrPLUB5qdOGXBCpNon+QlWZH
Fuu3R6MmIa3RUrXuUmFelQgqSmzqsknl7nZI1RS6ZIRjPJEtZHUFrGPBxlkV1NGjARbHnysSjw3i
lbqpSs+LEmQPLcO6jofPRA1Uz6muoUFKsQLdYcC973gATm6SQko30UqnpMU8iBREgzah0PE/rfpz
1vDbeNl+shjSm4UemSh+uoo6TRefrqHjdGhZjxT6offV2UrgMRhYiOQ6KPoNXT9ryaKhgGYLtpSW
pASKQ2Whosght8aa3MGJ34P6g5FULyAi4kuJdaZlEblwpjOb4PBo5F3sNneLknItU89aa+38bNB0
RL5e5LuE8EHOdu0COhB/3ng/wElsqREHV22gVPeryZj7zeBZzso0WBQatLU5C+Gw4ccSxuNPrLoh
DsqEJmZMEI6ZCt9F9+hPHeGvDmvWufbe/Jgq04Uiv9KDFIJG/jClLGxHhHEhZ9P1OdmelyS1UFA2
K2lk1SWt5E3XNK/tbK7mnE0rU6yfxnQyjOFbekjiDCN4ypEYmRo5hNVC5zOrL/Cjz7NtcE7HS+Q7
JETVGZRsXmV0qYp7tw2pVB+WWDs4iFGQrEEQrySZqXEBa4W3oqXZzKXDmYsdarp1BFnjtWTjbC7q
vLBkdaFsTHHxIpPlvh+1bwon8tjj3MIeyFBLyz7o1CgdsQljOul+yMU1wmt+MYPWqLH6+JW7GATk
gHkiiTn2zLZe1gWb0atE6ZiBHZlRt1G6YQZM93XQrdAE7FgDh15dhFoRIyGvzm6BLIYwN+ZAuOZz
4y4RXsLAayzcME0bjFhu0oq1kfkAOJib1kQOuyYwBHaCzTanBtJWOF2JKHf1wb7QIo5GyKJxYaXj
dA9zY58sn0pC70KoeDfjYqLAZLceajO2pdZDu5GgJIlso5ivdbfY2VlWn3x/nL5QmaEXxVM1q2CX
Es21UsPkYFwq5js79sZzoKluy9GTbqTb4DnLr96AUSc4XL+ay3zr4DNck5ITCh1IwNfUUge5WyQ2
3F5+/dBqwilXqZ81O7dW+SVAchT1jd0d6xqXx6zr4xOOwODeAhO19ghee9G0WIRTVbu0c2a6c3Kv
eMkLpOil8G4TXdtPzfwz0yoDcYOJvBZFdvZcNizRK6GNx0rLUnLxRB0JOOCE7lAwqJXWWhS45uCy
F/RH6dIP212YjP5XwZp73TuYXHNT56g0BZ4DbSxP/0XdmTXJbWRX+K845h2KTGwJRNh+qL2q953s
F0ST3cS+7/j1/kBRErvYYkszdtimJmZCQ7LQyAJyufec7/i1V38IEScu07DGk08J+VJlulz3JZIN
rdCd2wR97wY71ZJZ6U7UEIOcZm4lhhdOknJqqkiyI/svWkwZbPJGQ4rtdYOkGdijTRFG9cSuNCAg
h8P4fMp03U06qWc3uszNbE1+yGcA8B0yp/hUqWK8qHLVLBHrfjLsjouZunfGbvZOuOPdpPUV1gKc
KyI1+gtqggS1hoFzq+XmzgZ8F7RafZOGIGeMzIlvWjOvdxQKxFOmSmtlkXq4c3Nh77XCSg4Q7ZBi
9h4u9UofV0jA6d8P00dsj/1Sz0aH3e+YXtmFj3hlhP7CcovHcijVDZK/5syL2S5udYf8VGFHJ3EG
B3UxDEF0rRBMgypqiCwwZXgVFhNO8L4b1lmbd+9QaY+qVI6A2SV02lJz5wfmyFH/RKBqCPM0qHas
GSviV7c9envcy+CgBKyed+pG86d9Vzb64WrzSfG70mUaZhYSN65WyOzCDB6D5iFHgE+hQw8eSbfp
MMZlhvyY5++U/n5I0jm+z6ParO8nWAvnvlRQ2+OXyMMFSVSKeOxzy+9XyoZAVYOV0xacdOoAZyXW
tNVo+yZzM6a/utTWMX5gNqC+Q15okm5onWYsN1g3fj5Ib38jEKIpeLu0ZY5KaxXHLsdP/WqHB3Bm
P3gGEz7g94TUDgtzyDuXm+Fox1+JlJJGok5IA/2Z119JX2oIpJhsdkMy7fgiZDBtxmzjvpjtJV4K
lNLvVSrfukFaNTMP0TAdWtuvr1i2qTIKpZe7SrcveMVSSCv6Ds6GQm3grH8+mj/kIsxf/PdXm4vC
3z1yRRtbRe8btJ9UvEoQPTEtzg+cdK0TBnpJ3Rc16e1QvlOP/Vpw/WFgDXp4JncKZvRoYIkFLK1G
UGXMmkmiuVSdsxQ+mpQwAo6J3yHD4GD3i84yoDFHfjPDri2oy7aPOGGK3NOphS6/Dr20wxB6Iwnt
KP1l3YvqikxT5uiSBLC8u5AygUZVXOcpS453WhEv9mDXOgrbtjJ3FeJLVHxVFax1ano7U8IB7XWL
slwQ1O7aicYFxj9zK0QYrjWNPr2Whxx4hTLuKlE4pAQm8XQqQn8sFoHUsk3XlcU61K3PVtwU510n
6+sq9N4Zv2Ou7te5gheArRBNVyWOH0yCpQvgDlG1o+1kcIvRsFG5OmPKqDrtmu8rbtpN6u7SgHNf
9m6X5aiePl+ef2xQk1RGCF48KloVwnez1I1acmpDc9EaPn4FJPxr0Uv1ziv41q3aNEeFI5AHEHJ2
9EYUuge+ApH6jgKAzr6riKYzt47LdVD1H1LRZ1CDINZEA/JB5YgBt3PRr+wMjF1kB/U7S8IbM8Kr
n+bojcFN7fpDYqKis+7xyC/8dlom44PrhUurSrDqyv2IYubn7+mbw80SRGAX3UBgpUevKcxa5lYu
6qmQjSOIqrXllfqqlLy6P7/UW/enw8PWAVWawAiPlrxRN5xq7kjvjFGUz1NALTsth3EbBZag4iEh
nTvmUui+taUvrr9z9aPu3dfniiah/rXlaovj56oHeExcsN/sKGhhOJvUWiBCfmc056/oaO6xDRto
OjAwOrvHo6l5OqriUpU7LzAe3BiNk5U4iF8lW6oi2HZ2sJe0TN5BwMo3lnfeVRjwghcHDcrRIjtQ
mqfN5ZTwxqHmpai15r51Vborgcd40XZEBnOQI2l3GY7cvdTQqP38y52fkx/unKabPf8Elu0c/QhS
YMnzDZfljHDkauooB/pCXYLjYq1O8Ki3bLh+fsm3bxvtjDKtWax1LAyhbVVhQ/Po+7agbPypq088
RCsQKTnhpzaoD6TmI8b3KoBxpwX7CpnHwghhLLzzk8z7px/u3iUITVgQWJlMXr9FpRtHRRSyv/IC
D6pcbXzBkceWLqSvoKHtnWGcDadf4EMLdN/6YhI0dTg8r3/+g7z1/CG4sSn9o2f5gTfLbKzrdsrc
3cWIJUPKYUlwEpvmQ14Jc1W0kKi65vbn13xjW4Fw5vdrukf5Q2noeMIT7PAUvCpOJ4QsDYvQEOeT
tv/5ld68O5tNE11WesrHOzSNDeEUmFzJCsT95DWnriq2kk3EiGQiKyFVWck7dN23HmsQt1iFTYQn
vGGvv9iuJ8vMNpA5lYDOYB/YYiedMP0gSBYl+D63do7Vex9/fp8/BBvOa6BiI0SsHqIyoqxeX7UI
UDMHER4bCFoBwJe6+mA7efs5mHlATpIrGn318JD5pb42uhKGSxjGq0Cy3WkzIIGV3n0G5JmfkAnk
fWoaZZ+KNvPfgWy/NaMqdq+A3HUEJMcSMNAVwlNFV+2iLheI47uP0Mre2Y28tTyxOHG6JIpJ/IAY
Njxl0BtIqh1O4DXoFjBZ5WQuJkMW78wmX09cx+8wgZ8o/Ng1Yqybl6/vNqypPVWD0dTVrhfiSxbM
5fnZsDCapraFD4JSmRjwlREUuHWCHHeTRg5T5Vw1WhPtJkuRMkDZvUDO2z+CzkOoHeboW314NQkk
9g++I9SzR4DyO+qXN94/HN+GzY/ugkFWRw+L6beuO1YTKCM45m2WfYLnhga7xGc7vbPQvHep+Yn4
bohGqriFEILDXFQiUOouxgiwiPTBGM5z3s/fgjceL+5LCeUiMbSEebRdGFLM4iBjedvtnKbNGCaP
Ikmsy59f5c1bIgLPkpZOF+t4xcb90EQwCqudmDo8dBjyFfKFLKW7TNTkO4vkG0/zvDr/frF5gvtu
/PIurPLU5GKhyM8hf2XXboaEQZr14ed39cZM+epCR88yFfi+LgyeCSyD63mWzDJrbcu6WkXBhGcw
I7kSbto7T+L8qUdvEAIf9tPG/N8cwV7fXqu7oYVcstq11fjg5bZaKNFuW1zO7J6xqif6dDvPW64T
indG9q2HxbSIkWETqxv0vF9fOqxLww1au94B2MkuMttvb9GS/BObZfYaf1zl6Pm3e1CADne4i3Al
ge0ihLUK5WXuvwd1f+t2KDPPRxI693BrX98OpL4GpxxVMCfGs42U9KFLjb8/fUO9tznfs9wgfj26
Bu0kBxBJxcucFrsyoAknBgwPf/9BpPgoJUJnBNXi6CIJcqHRtnkkkjKxlzweuAiMbJOJ+6aCj5dz
0CKOkjzKf+KyJIShiTZn/fXRk5iYhdnjYq12NceNQpc3fhRuMT8vm6zEM91t0/C9eKG3vrL5y8KP
xVnqh3Au3FlC1M5MlFM0pzP4q20A5vXn9/XeRY4ewHgw6GrrLLkpErNNVI6fg7GV71zkq17y+D3+
qtSjLukS+nP0MhEh6yi64RXG4cRfVZw42EjI5tyvpXpI2ta5qUwkkBImuTETg7WbNujd+xZTKYWC
PHG8G0x/OHraKhXwvATOY5ETHnRGuwdR2rPJj38Ag5EDbANF0JwlnjAXZtfPdTeKMorCB55t07PP
prHRTgMR+3dNfpNENGdjA1NnEzogXM3nFhXZxtDHYllBL9/EmfzoS2Dufo1FCo55s6IbD6+2s4Bv
hulZYnTt2lKNd9madb3Ji7zdeE5fHzw3gl7EXo5G+c+/s7dKoMSSC0IgqDVwODgaziQ1exEXWrNz
ZEnrw2+DB27Sf3I9ZZ7Xzdxh0QEH6SsE9fkq92AUs0eJYPqW8IiBvAF7gYQe6blEDjar7UNfnQ2+
a9FHNN/99n+cxPlpTcGhFH0hi+LrqQeGhT0EKmh3iUAMMiHg81Oma8QZv47Lf4+J5P9tFOJcvGJG
nRXff+41uRmT4KV5ZTb54699c5vov+B20HXTIoWNo4fJB/7qNnHFLy5HAg6bCpsok5z+h9vE+kUX
OvEUnPKoscwHpN/MJuYvs5uJtZlug04Sifl3zCa/imhfTxHUjxXVValYp9BwvH5KIFBMaTTilxum
sTwNhzS66wIxnoQWclvUBdFWBWG8CVApQIgbvYfUk2pnow65g17TPtg9kskWcc7Cp5pGgjT3s44a
nB7Llob4Kk4jZxl48GTKAdIsLAhcynEzrFgzoclEc/xYr/Ids2G5QNZF6uL0eYqmlN4NpdMLczYH
AGkJr+LRnRZTRd+uBOJ/gUfl0PetscwHM0bZodyVRQjMlTVM7rk2Yi6xhxbJUDboK2/q6f5qYQRA
kSO3f9ClVp7WedGtYex4HyFPgrtzkh73dhb26ziKkQmFXXovkIxth8C9G0SMOJO/vMvclA9g+3Pj
2/U9Qk74UpHpbBNvovMEFPekEZGH7qgpzrosbrZBFt0iXILfNpDFZUayQ59oVhdZKItNYfr9Hn53
spb0Ay90S9NWlg0X0hc6XfBYD9tFqklzH5V5eVZlWXAaAyzfgEZTe+UbBW0XlKXU+lRyY/Ukpm5U
SUbDoEfWacsBKCfz9dYqXI+5Vra4fKnnLfFjo2qhSukTXO30G6GX9p5uWrcN0/CDS79+4yNqBLRZ
PdkgGm5Qz9SrkHlv0WQ+ORwOEEbfx/grHVvixp1avnkrp2AEr1ahQ1UiOYicAg2lmmTPKt3A2IDN
3ZoQSZ20OA9DRqaCdjViS95S6AmpQQ8R2BpDf2Ki8tZ9oFXnRawZT84ku0vc53SVGmrVQ2z3F1Ag
5BL5Ix859Q993pUHUnUvK6f3NnFYRo/KEu0Hu0+Hszzr0EdW4R4O5EkJWHotfTo0NNLjjWtgrlXj
YyX5v6Ns7hs2Tr6yOYxvlKa3a4Bszaltlg4Q2E7byNQ2oaCBmZyqDv7BQJHj0Wt5vm1dzkjrpKDM
be1KYtP3fjOzaFx0Bnpg148UhduAgAZwfevGmDnk9dhfxRFSkmBO47WtFCCHD/FP+9gAbHsqm/HF
6/OLpvKK66b3jOWYjMVHy4b9Y1QkwwTgJ5EMWNU2a6HPG27U7WOXEIlEt3D0KlLK0qas+KnnJHuX
9xF1ebIuvcw7RLE3AE7KyUhoa7kywMGf0k8pLwMdyvMC2GKxlDTjrzHRR2sb5viKjA54ih4CrI9B
18cXRQjMlKXF5rPxo3vj2D4j3AtnWOJ4P1VGjey2j7pfKW8aBfqTwqzC2yzNSEyxLS2EW0qDB3Gz
s+LBSNBkQsrV2QLsScYcmFTgahHbwp+mUAOw2ZfTKhgtVGtRPpQLqj31EjN/s0mlys+8spPxyomH
DPl3DuAihKRIeoayCDJugi9WqnsYjTNjPRgT0MVypEXpgHouhQ+Qoy19Z5PUQ33SIlCO8FKAUZ9Q
I+6LYIJhA9c5VJA4ar2tDjZZbQtD6hOwtxJIhmYbBx+j7arq7fRaGv6Hzq1uqjiGVD3256Iw46sB
JcnWBg2z9JrO3xB0n9KEwC7uupm/1EKgc3b4UUkT7VXf6J/cQsXTIm6Nq8hVELoizhD+AOoDAM69
ZzXaUmbOte13JMmmmbaMO/80MKIzcN0XZVbcmdOwl1lPjEADMgAIv2JSjYd7iC/FasL4i3wzLzcN
OtKDUZXm1iAuexFWjn9wbbQXpmt8top2TDepVki62xHAenaVJAKQQWcnXXvuBCXWQReeJLJ+rP61
lg7LtjS0daZnxSLx0RzlpZac2KrjUEIvON9XgRxuyLTvt2ONjqprq+q8C8d1D9ikFkPDpK0/JG4S
PTiw3bfIJvwL35r0ay0r7f+5rOf/T0HO3zyvHJf+fPNy/RTVwVMQvtq+sKfAYMvf+yOqGXEZTGrO
QrPr9ffdyxzVTJWcOhW9bwyDc9WQ0M1vecxQd8hbV/M/WD7ZKP+2fTF+oTo2mzM5XyEKFs7f2b5Y
X7sR321faHQRBW0q6tb4V6ktsYX6vhAT6V1uFcKGboSgmvWDIKsIkEPVfLC1mRyHvm5ygKSTa3bK
ji9c6EH6xUd7y2at3oxmQ9hVLlHnsjyrMGQiSwseS2MK9hQIl2btnbYa54k0awG0CTbvbArKYPzM
TH4YUxQmXkUCSZEzTXXJ+AXq2S4mtYck0SUlZygMBP6YnZ2sPHXXubdktn8INIX2CMeUPXwcVPMF
lNktuSyqb9aVph2qUj9v8I/Itr0s6QYd0OBCO/ajdN3Vtbl0I2NkZmuEv89iM0VYVzcGMVs6aJOV
nJrkiibSaBJbrRP51Ct0qJ42bfQyCTdtmqgD567WWmEW4V1qwiq78sa+uwWVNj0LT8pnDnzBjVl2
doxdJy7uIdu2K2T66XrS6/gaPJsOziIWl/hlSGwP0JZtJrNNt7hIhvMoUvDtbN2/hJ0frNqpC9cC
YfOWr0quqkq/ooJ06sbJaWzUhL2d22aKRhtYTSIadk1WSnvFDR0EdHm7qGLo/hMNbFEN91gbqKHo
5B3V7lUuxo1n2XuvqwjLuktN55PXioUVBZe+9hyOt2bk7Z3QXgKqg4LBg3QRhtCommI7hdNVVPUX
gnyg3h4eJIQaArhOTflQhdktuH6/ctcsUSsqjdet/1Lmwdpz7z0N+b9D7c1XzKYZtrf2XoT2SdAA
RjefldmtO9ZHsDEYM5D4tcamRVIaooiJJnOr+spb+cFN5gOqndkL+joWwYes1/aN6xULNaaXrQ3n
o5ruKhzZyx7idd0WK5qo9yln3QM9gS1KzaWUFzIcT+JJsqdsvpi1cQXch81v3ZN+baG0GuVT1Oi4
qIZNocltCnS50vw1FRZ0pe09+O+zxHG05RQj1fclzhVDWvnesYAYTDGaiGAggQ/f0mLwh7O4hoEz
ESDVRDLc+WN8bgzO+eDUYMnS8nPitsaqNnodbmS91xr1Wc4vVxKuXOuFKtyz1L/EmuiAYNa7IFTb
hB+FpfrATgWKH1lxfYCDRqT9B6eRbLAriMzGjVtoZ6Mh8eMl+NvY4C+72l6HqbdBG0pMRtI9ehEB
OBXgER/IKhhJdeFrrrcqI5WDmnLSbec6PB7aRPYaDuMQuliGRM+qG+8FzLi+oBpvw850ok+4FzrY
IEa01RoePFpCaulHtbFAlA3Ty06ZX4JgPIzORCaxZwZb4sj5KVrLuC76pNsKBL1rze84+ZeVhPY3
Nl8yE5rpKMf8BLZ1eCGT2OKNqAuMLIGzC8Yi/5KgVOfkA0sRo1jrnehhwZZM59yzjsxUrv3ebWDz
i/DMLkW8Bq0Jzn6CYt2SQXtmFIm7R2gNxmdm8bDbzc+DQlY3veHBBpma4Rx+H7pxtMMrkfr9uki1
apPXNeCPWEfFXuBDXFUBYcLAvqY7wqsoyJC7dcnwNCsbPfnHRITBFr8swJCcOOyzDu7kOmHHsQSA
CCPXqLp1xp4NCB6ySNeJk7VLHstF3afTKkm8cGXEQXnWivoF7wTpFq0tNpanNRvJT0iIBigul/vt
6r7fZ06vn9MyI68cn1IOYcVBIeajY3kUhI2to7ZAY9Yqd20b2p4o6I8GOc3gwHsiFnAJMhAUKCGt
uLeepllPpJW0Z7ZI7avKJwNmSvHHTQTnLEsLomdqjt0eHQikyYjgKTOUxgXq/1PdADhqZOa4Vp6W
3hq+5+3dyJzOlBUxg9Wivcp1EcRLZjta0UUYOstcGummyQvri++iLkrNhlJ95NYro5pxlBgBFrVx
bjUDloT5LOOYRPm0Y0OEgFlSYxN5eS09awS41apTTYdC1cTxHbDPaS0kqNigS8PFIMrTJlZbFjK5
1lofKimsxbACN5eQZN+X0l8m+PO89tCU0jlJnWnVBg1QXU0teyBQei6WJldlzDP30U3Jx8p94wUH
uQERz02XMm5Iohu6ZG0WImfhgitnpHlxE/mA5lHvgPEzPGtXTEip26ZGdY8mkHWhMa5LRa3e7Cxx
FnuWgXezvKLOsawq6NOJ79I6MFSzDZMRcbfWlEA6/bt8ApMueF5AISMXbXE6hv24sFB97YLWxWLh
ECwSoz/VpP6gJSO3arQNUuU42JYDAErXal+amHnEGiD1sDLsmACixYAzkmPRReQiVrcDhUEtJMSg
6AHb1WWXnBW1Zh5aXJw7Y9A/Nu455OJijbkJGJxRPMLvS8+KTl33pEKaRGsR9AYbV8eJWiqlbZrA
kQ/TkDTdMvbM6XNit1a/SMIABj0m3jLcxHqAYpygPCivJqr1HngPHG9yE1XkKQuVb5TFm9LzoAxZ
ntuESxT81mkwTeNJRj3R3w+5kx3ozDMgqsn4f72Y/IKGs+aBtElzQY+T+gN62lUF5H8Rg2JErm+y
lejK5NwtIf+WvMnrutTLz9LzKQNYhDzFy4RwPhNJbVivWkSyuOxy0aFPy6fuxi37Ak9q4W6w18UX
rZslhIjpxUY1rUEdowcnr6PcPVA9zlYohKabIHQytabQpHFkwj1sQcafgsc4d6pLp+zwqISN4nTu
K9IW5oSbAnldMSSX0i7a84j5/tkp8IEE2ZygVKbOuY4W+LM7ABnow744bbLA2tVuR+sViFiDQEGy
LGBrRiadsspZHqy44GlmBdfyYsxZZI1+WejqwsHtWFaCKhWpBXmhX7CXtS7C0j/RYjUsY8s8D/oe
GiA69oUtOXXalEQGE2T/yL8Mqmx2YRubkEDDy4lSByD+NLmKojJZtzxjj05iXwV2dW5PBKI0aaAt
QbjgR+5A0cESVGjdu2D13Vb98tct7veYk7nx8Xrj69AmtpmWSXhHX3BU3fU54FfEQ0J98OJriJO3
k58eMvc92S/b+x8ugw7IlqZUQGKOpaYwie2+GpCa5vr0HFbGoTPs+79/J1Q0UQhjcf0ReJOpVE80
eyx3tSe2kcR1VpbTJQX4v9n046yA2/67Cx2VOvs8n7TMg2GRNuFHwMLnM1kix/j2r93PkRCv0SJ2
WQWXgfAtKJepfYW90kzwyvz8Qm99N1+RLYim+GaOJS2+jkmK3i8aNboKJ6PfyNOuHpx/orp/m6f8
599fAaH+89//Wmn/1Z/avuTnT+lLffxRrz65/s+vv+2/5Kun5unVv2CECZvxqn2pxuuXuk2arz/F
tz/5V3/z316+fgpiopf/+MfTM5r5FUiBKvzcvHES5iH58xP0SdAm2dPbf+v38zNAKcruAvM2L+v8
nn5jTTm/WIhyqeNT+Oft/u3sbP4iaRegGXJcut80DP44O8tfeNNN8BtoIKlsIXH47fa/TRiMHMPN
cLwxgRwJoriETWNIV4Y5Nx9wlb4+OWtaVapEWhmqBV+/5jBAEdGMLQyKJLexv/Anh7pXg41y/d0Q
/cULI3NBK8/NsPs/ej/sjMOd1rfZTsjZU1cmk+Eusc8G7XnfWtMe/IJ9FrZN/44CbH69X8+YNsNN
cQNPAP2wY1GD5k6oaxwrB1EOtb2LY+9Aepm1oy1hnZA2rX36+X3Sez+6okJCw9X4H3I5OGAe3WnW
Ux5ly6ptO6nZL/TvDY8e6tCdCZ2N8qJGrHw2VJlF9G9ceUtj9FIKfzhBt7rXWU+N4fWfk4SmwUKO
RNRmmEhvCsM3D6RMjWzSY3dYZD6uyIWEFHGqlXYbr0gaLDZG2CPSrzUnBwfSauaTmwQhGiZLeI/g
C2BmNmnrrJwoL176tOXwAskSmm3j4RqzO+ElRHdF4XlGesNuIk0L/Nw0EU+tT4l76srQ99apMxbY
emOGMNWClGgHdj7lypxA6yxq0yadUaTutg451tllWz+jAxyu40G49xGorB0ptQxCL0xwHE040q6t
DaPbZpyW9u5QUOYewqJeGLjiCGEHU06SquGoK/Be7WWS51m2RpLVHnQkmF+USMd1Otj1M9hz60kl
Ee6TzpfdmfTyaodYp9tqKeJSN/VUs3Zcwmok0Qg9ZzyXCONgJEM2FFbVHYqqKDgYjKVjzEZQxrGI
wbKMPeXyLKI2so4dchJqbXI2GMTQ59KF0q4aAoluZ9fBsIjoH7G11Tzzaahpuq/LqHa3SiMebVCk
9bpWCtvamIdSDwbGFjtoch+n+AbZBXZkyJQSyV8+zCFkTfRo+X4E8rmQxcfSxpUK67dnNByPMq/j
FH63k0WbnCSey6OCXZm7MnrsqBytp3wvjTa94lgA6pJidLhxTEkYlDUUH2MekIvaU8G4Ql3CN1gK
29hHJP8lGLFjYVzrbQFJxaBZFpKQR/ZuGcpzT+CnRZxqxZc9MtpDRsKatYG4jh3ZpTYOOpWYXh8K
NQ9uTQdzFSSOeS7LtI+WRdvwkArf6PqlbKA+b3OP3t+CFl1zR1FGfwAUUNVbLzGoDTReKvBe9qo2
Vn4p3Ypo6yiaKxaBeZiKkijVZCrEp871kiV0HFEcutFmRClHcf+1MkZ4QYHT4hxJ8YasXL/iq8Gh
65FYUbj5Rds16YfYGp3r2KzcrQf+HXOAH6w1ydFo6YikvZJpoIdEU5OOGDdmli6LVKZf4MF329Z0
GD05NFS1HZpzGIuRMRfYqbdFGM/A1qApPupBW2yckC81jJvwPEVYQbSG3zR3g1bwxiF5Ta8AmfC4
V8S50nuUYfBEVaUigNQNzhXC8BPd64sNJ5Fqp7Ves5Sq0jAMFnr0qJVdcyfHTp4jmYAKGlQkjFtB
MHzujCHfK9vP1hMh0J9AoqXBirAJzaZQalgnALeLAy0WMh14+hYZqrar3veGazsvU33pkZPmrT1j
1PLlNCmepSTJvEUzJOGwzf2gB2KTa0Rj5uXg3TicbCGc5+zdo9haOmHUbPK+ma4EuyFIzaOp33pF
lj5m2gTTWXJYu4N8qX0mWy09bdK+2/paa56XvmRIfd46EDkND05VVQ8B2Xj1XBj0rwIJGTG2RUXG
CYFqne2Bui+p/eE5FnB+aTUGaf1hmpfkZVDqlFf6lkwgkqT0dWh7FBqi8g6pYnDatJp1CwVmuoes
5IIsrQ33uq6hhUrAwAPfRt7ZvGjewQmIs4mHhkZSWZxCi3mBVpNcwwjoYR6M47abSgWWAtAGPQuw
PKR935fKty6yyU7WdlN1z31ZgetFgzw4ifpU1tBq0MVybNV9H5p9IYK1qAvvwogHfYvOK9r7APR2
ECUyUE0BzvKMNlEhSoi4Bm3HMaNWCiPrqSVRZ+FMhsL756nLyJIfSsKggqqpPlbCh8vd5TeYQbpD
HlkvehiQVl2KbFElGCMVN54s0q4IiT4F+keQYjIS+acSY9shutmosa/yVcNjQQksGy8o3Hzxylqe
DVAwVgno+Q1kuOIunpyVbN3myhK9sYqakdyKzn/yyBvchgGxsl6QaZgoWoxaXkNCnMdpe2eBxv8Y
hw4xhoZ+rirTvBi8icDyyTfolipRpsQxaN16LOjeE1ASHgoLRSzc5EYjMSIrmjtV6jLagKwaiaH3
tQXScoqfui6qMyooxaWj0811O6e9b+AR7uxQmnyFVbKFLzKbyWGInGmxUR763By3ThKJ57YZ/GJp
5VnoYA6vmCyhJp5w4oYJkcskLTeWr/sDl1L1Vskc4m47FeozucLuqh4Tq1sYYyk2XUP4HJxeK11F
Q0jDWHAWvBjrDk9wKFbhhJbNxNa+gdTQnmEmRpc+knc51SY+yswY1maSXg1Kns1SrgUkT1BDFoZK
CyoPL6hJvdJx/BWr9Yltzk1+O72QnpD7TvPxxce6Ty4FiYtuPRDlqkwN53twRjv/TnQmsUJiwMTg
UUxc56xwDw4ZlUvNNIhEdZ1yEwVkLNCnpUunOcRvhCSknVpa2yzdAj5ZHmKGkbZvnLVZo3/IsOZg
IY+tGDlZorznwieYk4DjR7co0nVP3PmiFa61lyJO9kqTJ35uPVhJsmDNonbllANvRBaR8G3chGV7
p9Bo3vKYQ7xOawh3Ja6mQebRvTUWXxIljA/0VoN92SYASqApX8MWIIo7ICouoeXzKa9j9zSDCn4j
q1SuGtHd2XNaoipatdRJfVgS+UdVoGBFPzTRQBC6rlAUWkCLCMWOvK2I84G8ybz7EJSsdW7u0ipv
rGJlO5p/cEL6niHnybUh2FnmhXJ3uep7YL2jS1u3T9q1rTXGXRA47pNycv3EDxKWUIRbJ1Sp70OH
ZKCix5Nd5Q45P+3I7m1qh+gCkbpcScczT9JwCM+AfRCEM9sKnRaKZB7LheVXRFoERrAfgPVcowH1
mdtFmy/imqxSH7DwesKhuPVx4d7oEdHFOcWrK0xDvbaIcklNaQKFD5m/DZ/wwn/qwVCBj6vzyywO
iaS0036Fps6Hb4N7T+sdDueZ1NQuKmq1a9tpgAbNTuCxYRO1bx0L0HwXEIASggFwcl8Cvhf2Jp5i
nN6aNbh4iMKyZo9YuVCdwv6x8gabg3JBKVi4wxr9X/Iw5bM+ru757ExFD0aes59xi2FfDB5JEFZ8
6gEcANmvlTw0A1q8fEZYVTaClphJvBqr7slQ2VhS5Eo68tRkm56JEkOnQ3vgszBHe2GXAWjOkYY9
WIypv6hjPbuH9NbvEi8rbiPpx/RYsnE5al1M/DKL/QmyExGxYZx3MF1X077CQ0WuWNLpbCENe3DO
Alzsp6OAJLOgtWKdlE3pXrA31R86IN3s7isH1ELLDgdkObpS4jB7P3403YSlM6pghE+ql+du4+sP
eu4M14HhkYaqCS07KG2IHqlX8FkYKy+00iPObSod8rYSSncrx0V34qdZdwaGg61koRdsXt28jR4J
4HauZdFbd9QbKfq7Q2PaC2RF3+pF/wNawH+lpvAvlAu+3clcWfihXvD78Xn+3Usofs1t/s/9od/O
4W9/0F8sQHxTEnIwf1WB+PqDfS2B/OxzkicqJe0zFQ4dASJeSRvD+Gy+4dc//i3JM//bb6NCpM5g
Uwj49tucUrned+P0ZyPx85v8sT7z4+e8uoHPOWvEXNfxwzz7vqaiIx/4KyNw9AHfjQCiA2WyVbK+
2o/eGgGLAXAAEn/9xTn+f2UE/rwW9Yeo9K8MxNHnfDcQQMyp+Qg8OL/e6dGjQIHJni0E5ly54Nf/
1qNwdAMvX+t1++f/+Mc3WctffCCOPua7ceCVoHJKN+LPxsFx8BdDgf91mP6vjgMV4X/1eRBojwHp
Msm8nhOkjg4IRO2vDwKymv9bb4QydWqg2DPQT0NugktMYfVfGwvrFwq13C7E4V9/vRqS2UX4V4fg
L8ydvy81yyBMnr8uMuFL/V1h+90/8Nvs++MHfJtV5/flvwQsOlHUgca8ISZD8hSIb4eSTcAFP5Ik
rCIAWwPVDvUfps0odsE8BRP0yEwtSiwC7mMBS1RCXQmaDrBVcs5ILCnJTy9KzEUu+BG5HeEgjBF7
eKTjMx/fnRC4JwOIMprAKjoKTcc7w0Ch2fg3L1BouFNiUWbxkcYclPhEtGgojdCgROD0d2mRgktm
WWYxWnsBa9mA30JsKRreBsJM57C2DTZtqHkYpCI5JzWxyA4AAAD//w==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Service Level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Service Level By Region</a:t>
          </a:r>
        </a:p>
      </cx:txPr>
    </cx:title>
    <cx:plotArea>
      <cx:plotAreaRegion>
        <cx:series layoutId="regionMap" uniqueId="{329E5FAA-913C-4101-A32B-0956C5BB3092}">
          <cx:dataLabels>
            <cx:visibility seriesName="0" categoryName="0" value="1"/>
          </cx:dataLabels>
          <cx:dataId val="0"/>
          <cx:layoutPr>
            <cx:geography cultureLanguage="en-US" cultureRegion="BD" attribution="Powered by Bing">
              <cx:geoCache provider="{E9337A44-BEBE-4D9F-B70C-5C5E7DAFC167}">
                <cx:binary>7HtZc9w41uVfqajnoQv70tHVD2Su2i15KfuFIdkyVxAkAYLL2/y3+WFzU7arrLRKbk90fBEdMQ6H
LSWTBHAvcJdzDv/5YfrHh/r+tv9lMnXj/vFh+v3X3Pv2H7/95j7k9+bWvTDFh946+8m/+GDNb/bT
p+LD/W8f+9uxaLLfCMLstw/5be/vp1//9U94WnZvz+yHW1/Y5uVw38/X926ovXvm2pOXfvlgh8Yf
bs/gSb//Gt82WX378d7lv/5y3/jCz6/m9v73Xx997ddffjt+2HcD/1LD3PzwEe4l9IWSjCLNqf78
59dfattkXy5r9IJwQaTS6vNV9XXoi1sDt/97U3qY0O3Hj/29c798+f/xvY+W8PhS4Wzy2Q6JPcw4
Xj0s8bfHdv7XP48+gEUfffKNK44t9KNLMGlTNKvC+b744PHvvyZ54f1tBob6ao/Prnj0vZ91BXnB
JKZSMPykK/ALpQjlTH7xlPw69GdXJPmt9zbrb83Xz5+a0tOu+PbeR0s4rPSvx/63eSm+7Qt3Wz9n
j588LeAiyoWg5GkXwWmhFI4L/XL5yEUP8/k///vZCT3toL/uPHLPXxf+25yzym+r2/+ga9gLJIVU
UvPjCIYJ5lxjhh7+kK9jfj42P5zG0w75ctuRN758+t/mimtILO3QfzXMU3HjJ88Jf6EoBXNj+VQo
U/rrUJ998GX8X1ZFKBykuq9Xn5rI0+74/glHnvn+C/9tTrqZ6/zeP2ean/QReyExJwj9bboRQmBF
mfx8bo5i2Y+n87Snvt535J+vH/+Pe+Xvi4Q/y6bVrb9dP9Rb39QJz199WDuUgUe3PirbHlngq1/3
H3//FaNDwBL0m/rh8JwvN/9dtn985/2t87//qskLIakQCCo4ShDFEPzG+4cr6AVnGinJCWMQGgVc
aWzvcygJ2QsqOARSxJWiUPrhX39xdni4hF5IyjDWDHbOwxP/LHivbD1DPfSnWb78/kszmCtbNN7B
uuBB7eevHSYrFRIYArZkTHNOhMYCrn+4vYai+vDt/4VL7NyMK7fDNtcnUzf6bas7kvBq7E8qQa/6
YgzvcqzMeh4F3adR25QJHkcXf2O7p2YCqz2eiUKEYy0YgSzC0OOZBLP4KqK635ki3E/5hK4wa9rL
plmKV6RSLDZZsyVN5Xd1L9fFgKs6tu1wVoWRf65XP5erT83lsOrHViEUMyj1wNJw/AiU3N9ahVqP
0sKJbleKPE3KlInTLq+aTQj5KfJcfyhGjEk8k9l2cZsW9rSTIts2y+3CAllX3LLTaMFkM49TExdh
nm9+YC32/QwVR4qC0xCV8NPjGU6dq3BYvNu5xU8o1iisRplKtyUFpSf9UJCtmqhL2mqhsaoLmZQ9
DlvJl/yN1aV4V3LH7qsoSPUj48EheWQ8ziiWBDMBbYumELoeT62Nlq7VrWh3ldd10nDTxFoU9rqe
Wv+a89re9Mucvs8ITT+2smhvVVEtcbmo8LpC07JBpZjXz5vrYI1v/fkwJZiVRIcDp9DBmt/s8jAt
apERb3doiNQZRkN9iaD93KC86ePSYONjr6ewxcXwQ3McnzAYmyCOKRaIwwSO91JTW9N6P8LYSCaj
9PXHKJdsJVGnV6H2eIWztIn72otVYVq9G0zdrtuuz18+bwNI8Mc2IAwpwSXUxxIqg8c2GEOf65IM
/W4qlpezlXO/QoHz00C0WQcv8gs3MkXjXs/NPp3T3fPDP+ECctiw6GAFreXh+H/jAjvbkoQ+63e9
X/AFb1K5CqK7bXUZJW3WZgmnTbQpC29/tB+PAws4gEJ8kxxiiibfOb+KcM9w19mdznB7Sye20W0B
Ds+QvLTNnMXz0tanehqNSYZyCSExfbgabOCnExrD9nk70Cf2A9VCcaUZV4IeG4K7yUeaCbuz3uQX
UWXpqdOja2JmdHMWRWGMm2Dmtdf0BENs20RZlN7g3jsbz1nZfBi90ltS2XRde4bWhC1sT9pA3tpS
Ljhu+yxNqhCZl4007SaCILqp8yH1awWBap2Oy1SvOS9Qt2FhTKuYWTVNZx0PxbaNgj3VyvnXzy8a
6v/jvcfgDKBDxkKSHJ8/5AaOvEB2l2esymKejcXWMWwvaaGn6+fHwt8PxggikEkIhpMH6eTxTqO5
LPMQon6Xd51WsaiI3duhz4tYq4kX69LYKbucVVN1MTKLfFmMaLqqzeyKtdCOXswTx30SDT0hidOs
Pp9MaYr4+WlC7XZkEgbJV2CqNEGHnx7PsjPBttnkwq6YvYgLiPJlPHvenfE2k9eq8vS8Y0W6f35U
clj840jItMJYCchuCBNy2J3fHEOK7GSDx91uaVC7CtjruFZldEfJNG1GPKdRzPgok2zS+KLqG7Zv
dD5vXS3Nh9arT2MergDHas8rMxfbiQmzE62sY6NMSmKfW3NjzJK+KwfnVmnlm+2gR55kNZY/iOmQ
Ub5bC2cCijQIZ7C7ND9aC5pKksp0sTsPOfnU0xqF2Ngu6s+WbBlfIRTmYVVFTl8OU0vSVTWWemvm
UFwwgWHja0txQuic6ViMOb5AoW7Wix6mq7K0UWIGXb8RnEzrKhCVRGo8sbx3a8ZRm6Qa75wViQ5t
3FXzrq/T01qNu1F3eLWQdK2ibIuggjClY1esvxiy4rRD9l2xDJDw2jnEkpr8LSvHOeksHS5QSV+h
EZ+G0rXxqPRdr5oyNhF923rYpCYz4Ubqctw1XbWNItomrHAu6efGxOPEPzpT2dgUIkapvVK8a+Iw
quscR3QF6Q9Wi5awnjs1xJp1HkJJFGKr0vc9lji2PpBt27Rbo6U5ZzZyca3ztXeQLcdBJAqjelU0
+FZ3Oo/7Dp3MVL1pMTaxhqIDW7zEtmEbB6c/IZMZL2beXmlA0jaFmsWb1obbSWdqO7n5tGRdSEpq
PrYLnmJSdAmddHtS23zeLMWyEmI55cZehCJboWrUa+xMWIUqeoNClZ8sOCdxQ4YT0qA/1Ezf5RpC
YciTqG7O0SLOGjVeD0KvZSo2pRlforLPY1kU63bJzUvi8mmfhnqJ3ZS/LpfuJgrZS1nNFtaN1gN+
q9JbXtevMSN13JIblA5tol2z6+Y2XNLIfozqDJ+lZd6cqybbdV0j9qHMNzO15FPl59PBTFcYFfu8
WfZZquJC8qRhaj9VzN6Ccbto3VVO2jhvDWf7KOWz2U1zVKJk0SXvY5x2tttWdAY/qZKvjBzg8a3F
N6bN5+vcMNkmJsKvaI6yWKRi6WMihI/TrtSbemz8ejCDNzFfJN7bai7mWBftphnLoY4rxuYyLlgF
WXfp0/GsK0h3W6RlNq+lGCu8LlwNk9NyYJdI5PqOqMVtMk7kumdCDLsumqBGsUIaCAHE6qRQRdTE
GM/sTUSLXCUUauspQRlti3Xha1Ukc+A1HDQcRfeMBHM20D5HMWSnto4HJ8wd7bvUx/lSkWaNhWF7
PPbDuxmxbNVh1kZrwZqGXkwZaTgsnmhXxGXXkHZloUlokucj5ffBRTIsBYW2CLK1PC6w57S3vpjy
dpe6ejmf2watwtKxj8+Pwumh7PorICswFxUaQQpQmEgCDd/jgNwhCLkK1e1uOSyUHJY8mcD2fqpp
s2YPNgkH84yjOFiqygqwWs3NmfAh+zQvwei4mxRYWLW0g/TWTmxKeqXBC7mK2Jv8wTfjg5/sg88K
Sdu1e/Dkktv0FT742Ds+ssvy4PnGLTVelw8bQsxVfxulzQTjSdgwFWqXMi4F1NAxY4tksbKnLlIM
zgKFnAWg1LkU/CKPBDqt8pnulS/bW84zcllm+WKS2cluSfql8eMW+k17x/O6jFY2FcWKzzjfKOO6
laJLdoUoydaYeQiWA+vihVm9jrpplxLs1lOHU5+kka1vijqLPmZQdK4VbLhXnSLueg66Xy9V8wlh
S1Zulss6itC7NntNa2Fs0oqMQO82LLdo6qM9LxGLfWXlRU2iZW3n0L7iS/9Rp7I4p61GO+eQMzEj
lL3OKa9FTOtc7BmyRXco1tTKVyN9X+NF7dOmrC+zvKt3JJrBa2OTRq86Oxd/zKQjPLaoEDs10CXm
YlB/cOLatdKehRhVUA+cWciZVxle0Er7iW+a2tWn7cgauyaqV23S+pZvfOs4rGkp2aoc2sLEqQz+
3Na5LmIxpAFiNa0Q9Kw8T6Z2fO/sxO/mBaYRe27md/3Eir0ru2hYF9BOboeU5nWsesHXuGZLHs9p
XZVnqA7voFc2H/Dkpz1UMvSshhbljc7CEM988Oei0WkWV6Rqx1iN+a1h6Y2T4Y02tYFili2abQhT
VsRlhKdLNxoZl1Ot+3iZlyHETDtNV3VR202OkEumuahWZCEsURbZq6hr3FkxNf3bQlTzCvVpcaJ8
avcRbdCmMUydz9o0ABBEhXxXdsztF6erpIpEFudj+EO2ooqFifKTkvKPZR/4JvUT3Q2iryDBoBs2
2VvpvdlBMIlufKj6V7yUFHrrpokHYica296ECzMgVsUZovnaYRE6SITkTpnMvcwpFJNzYNWJYwvZ
Z50oX+MIR+tlJv0ZSvO1MOWrJQ3laihGfwIMVN8kIhrrVVOSBcLiMq6tVgJCb7rkia2mDowkdJFv
+qGcNynuRFypUmVxlg+mjDMfhmHt0dR2kIJrnyVqRj5NlHZ10qXRFvtI3U1dUV0OBVMb0eRLUk0p
T9omx0m7KLOqljo7G5YOraTMw3meU+rjpajDKgOoaL8seJbx3CF1ChhJlDQFG2IcuHofxtK8Zo0a
Vk07DC6B7Y73pi/bKM67sr7ptStjWw4v/ZIub/tpbrfTVOD7osubT2nGs9cREvYupwWsxIsCOm89
ZJu0ZeXltKTtmWyKHCWV8QBcECFtwkUHv8sRQsRo2q0qxvZCaozu2r6Ydk2eTSfjEqFrx+rs/YAj
sg6QBvdzOy0nLAgZ657LKRlbHK4pHqaTtMuLPea624xD31/obsZzQnBh91IGiDUUV6ZIoL+I1tQx
VWzExIeLzLvuXHWluipFmt9i3k5mk1n8IY+sew8JDUGGzMpbOCb6rbSt20OUcTyGel7ytek6tUrb
QlykQ80uZ2MY9EKZE+uZRvJimeaKxPlcpG/lpOpTq4gZEt2nZI5hbXzXZBxfR74mN76qyj1UcO6+
rEb8ciJg56QzhTmVIp2XODK+OhtMmE47QAzTOOs4ujStys47Ck1gSaPlvLaIh03kWnc5zsN4xgJO
92OZmk9Sk+YtnRA6dcPcnhEi2ixW89De1MRW6tRj6U5SUuoTz0e1IoH1FKIFcicm8uMpm9Fpxse0
jPuqny/VlMqTaJ7D1jRQEzjuyEtfQUAscte8LHHdDis7T/SP4CoVN6MW1zmd+iphADNCRLRjfuan
XF8PYbD7rCEXQ2il28AxLC46rpsbxce+3XC56GXVERPmHZ/zCHZhHmlohUXxVhYphPeZIL9LR0RP
VKvsPq+NrJLgcsZ2E9MhimWQeJOXheyTnvJexO6ALr7VgEttGqeatR4+DIvr9zPOPpWqmmKDM5Og
FCqnzg5FHg9KSYhgAAYnE8znqlZcv6kVS98jORTbdGrM+8iYeUpMgeD7MuP5RWHJcKub5qrhzm5U
ivwpn1uy80N/21OT/TFHUmyscSuAMpotVBT2qq9ccxKNLpyHegrQxtTjaRul8lUPxdyaBJ++LzsV
FXG1zP41dLGHyQ2anRd5KmLJh8jEk470myEvpYlL0uJE5EqeYIXtSs+hTEKP7IXoluKkFzVPSAOI
2Sim5qQtZdjSyuILXHfZWtUj+9Q4Cy3WaGY5rRk2FY+hC5iirVmgIb+AVnf+2LYFh0oxU1d1z7q3
Nm0Djn2aklXnWalPSWGyNatMvZKuE2uoP8vrouD5R5pDtG/qRl/2gw4iGYau2ZZLzyvoA4hep1iV
eWKWVq5b3S8yzvGYJp1DO4ABwmkwWZ7QfPKbqWvnE1WaKMEduCArJ0BSHNVxldI5SlTgpY+7hQw7
AqfmRhOcdeuR1vx2GqPurIOed4F2b4E81wb9pjI4reNMRupSpYC1oLL8VDaE7l3RkbepUD5xFv6B
ShKAiBaT9CYjFb+Fzi4aNtynWRGPjpC3UN/KlzhkzdotQ5SEXJs0nqM0zza5E62LJcgguoSZnl7K
1Opt33h8kqaTWTPCpvXi6yjJllSdu0Y0FzYb3bVT4x2F9mZcyaa059XcydOmORTi1AMQjAF3U9nE
zucmQ3HKIU+2bQYgCZnzVsYk8i7pJjl8KKAS3mWp8XcANZ8LF0EeT4E+uKLAOZwMtAineZe77DM+
8oXrufpcAn+mKj7Ydu6LLP8iz/nz13+9sgb+PohI/vrwoO7567fzr7Kg428dBvrzazDOl4EPLM6j
X75jlf6GN/osIPqbi49IpUf82bekEnmWToq/kxYdGJrDPX8SSVxL4EaoUFh8pos+E0lKvQBYGVoJ
gEEkBGMOWNJXIkm8EAQAJgBHFODQQPb8RSThF5hxqhA0H5gBOk1+hkg6YkyYAJIZng8NPRYwkwPL
9S2uZDIyC4i2xW4pLcAA01xus5zKRCxNvc1oxTbPN05H8NmBEaWIMw7klXrA0B6P10B6dqGB7ntO
1QSZwqWvWMjNHvqh8nxWOTojdZ3+ALM7QhYfBsXAmAEnpAC+xQfm4xvwjMCRGoJl2c53PDpzdZWv
cCNoHMGPP1jfEVp/GIohkBpBN4EA4BJH/E4TekClBSl2MxR7Z3ph0SpHmsUpqqpNjzmLCw/Ay8NP
uULj6+fNezQ8lCf4QMYhBNEeGDl16I6/WSmv2DLWXPXA4QxDPNaGbrxdoiuSu2iOO9svsfI5uygL
1d01VLkfoOTfgbjAhlLMIewxCbUwbOzHE6jGwNNBAE6ZDgcnVxN5PbioeF+FwqygRIIQnPY5O21J
t8rqbth2puEeYEsiiiR4h2+kGKatwsP4xzjTOls9b6Cj/Q4GIpTAwdGMcJAiHbMpheUg76tRt+tU
PsS1acLK8QmaujpMa5810dXz4z1B1JID4Ye51AcCix8dsKj3ygc/uF20wLAxwwPBMaxMqDUAfuw6
t115XUJDU6E8XRtFfBpXg5zPJltV/kfY69HxU8CpIPoQcYDYwkwfzcYM0vbRkFa7QKDhOXAO2sZB
EnfSESynGLCd8iy02v5RDO1HAeT01o1iWbt6ZmU8pCq/pkuK3jNL+iKGai/rk4YW7E3mh3bfz/nU
xlkrcUgmj5UFPBQOnIX4cmaaLtqbXI11QrKabNJg03OJDXr/vMGPgBn5sERNGGDkD+fw+AQCZ4ch
wRVmx9tR4XhpOkdXQBpOr+teVImV7QRMaleieB6wvgAIp9p0tcnO+oG5bZVyv7cmdXcB8+gKSNr6
puYDej/pWeyguqpvygq375Tl6V66ofxIcQ2VwuLJ7bBEOosnwEdQ0pFA3zCAHvrYNYs7H00I6y7T
9c3zy/0e7gIBqgRdHRYUI6mO4g2wTmmlorzeLcPCAD5gVeJmHiXPj3J8ag48LILDAsyM0AySxuNT
rXglAYq39U5WffZHlMPOSb3bh37h9wqK7J+L1wcXAucEwBoEMuBfj8kOObkuX3oYjhqbnVe2OIGJ
TYmmU/hBOHjiPEBiOKRY2DJCkiMUz0ykyahz9W4MWXZe62Z6DRBZfbNEnTvUSPWNwXlx/bw1j4P0
YXlQCUAtgKESReTImhQEw6j2jdl55rM7X45KrWXVwUksucU0lrmgb2Y9te8qQGBt3PPoRw49yogP
FuYwCQmiWC0gUzx2aDQKWQZUtbveymhVcGRh3wxNAa00N+n58+t9cjAhBNMQdBA6TkrEiEqQXLW7
uch4XEWQdFNZN6c6Y92r54d6yp9CATCrQAcEAPDhuHyT/6BM7lxnSAuZvk/PMXH4fHDTeBKRTp0w
WjWnOQ3iBxT5U/4E4QTgGSAFh2UeDdqpql74CMKJokPQX7G0uM67mXbQSdbpebnM4MNiJFMdzz0U
03GdQdb5+XWDdJZLEB9xLNlRGFicSkNQIJRgORK7DDiF/ehTtLaFAwYqwjyuSf2j3PaUXzUQaRBp
tUDymBEHARRFAEC2u6xk+iKNAmQ2STqTrwqRlj8orA5G/AtvfwjroAwmEkEaFRKq1ceebaFSVNWo
7K6DnHVRmP51cD/M1k8MAqo+CtpLBTsImNbHgxhNe74YIA98NgEMgttIl3GUuernA9xBWwJMNyjI
vhdV1G4JURuBtmQSHXtTAR/o4rZFUxIq2rQ/2BsH3x9ZjkBMgdoS9BtQmh0tqrdjFabJ9zsBK94a
gJnJSiPI7ItQ5jQHVusqBdVEkYyRuH1+Wz5lT1B9a35YrMQH8eq3xzEqIRR6QIB3dSWiVR/YXVSO
0/r5QZ5ITgeFCmQMLQA1ON4ZgZbwSkoFCpU2kvUNK2AAX4xya6GZifPa+w/Pj4efMCgFPSAmUElB
VjxWBlmOyqLTxu5Q1y1LwoLkfp1LC0ebeRtMskTVcoVl1qzyqEyzVWpVcQaAMqDSIS9UubcQu84b
kKrdAZY93EHACgwg75RuxkJEZynz7bvnJ/3EWaUwXQIQoEYCNDWPPbGMrAN+Lmp2EwW6V9ImPZ9H
J3YNT6Oz54d6IhwedDuHd180BfHOUSwCNrirFyA9d6kf82ZjRFmeGbqoNcCz7uXg8bwn1APwzQfL
z0bA4X8+38CbBkQzaG2hEdJH7d6AFjlG0jc7w7IhNh5WiOcW1ASF1RfPr/WprSDgECuI/KDGPO4s
oT8Wh1rF7BiUjCdTQ92JA1K3iBVa6BuAkGW5UnZxJ1H3w7TzRK4DsamGoI+1/D6H6wh1ckLSAKvL
IfwuUDQsoEw5yfxYbFzVjUVc6OxHxcsTpw1yHAid4ERDPj9uoBaWT/lcp2YX+Ya9aao5ulLL1L1S
1JYguwTC/3kLH4CT4/B10F1RzWD7aigHH+/cjAts6gV0VyWlRgDdHtIuLoso/wRJQL4+qHGjeNB6
fL20Kr3SAES7OC9sCHHGy+5Ty3B9M5YAF676ZpbbqPXA+c1jfsdZAbV/xf1IEzi3eexVp+ma5l3Y
2Y64VxBZ2rfPL+eJcwiaFwQyMihQAL85OhxUIOdZA4oqYKxAyNHWgq4k0D5vfYnD5U+PdSgIYGcS
8BX0no8tJwmg5TOpoLgVUbbyeFw2Sx+5rT5gET8/lKZwBDCIkqFyPzpyM+p8A6raeveAeICaBDQE
qYpWLM3L3fNDHaCvow3xoBMDWSiHpgdKvcfLMkUWgfArhaQyZdBRe0FHwAtEu8V9jd43nix8xXpu
l0tfz1B0DbMSH1Fe1TcuGpsqAVSfXM0qLGdAjAMdtkw4rMElRZLbyN49P1tCvp/tQbglQEGKINmL
Iyd0bHZAagAgYsYmAzKYtre1rKOzFlQsLh6LIrsbUN6/AglZNsYVTqPE9mR5mcm8uywXliU5Rv4l
qBqqxEjoRWw9hFUuvDsB/k29HFUzbVExDqs+FeZ0FMXwg2IFGq7HYe4gdgCNA+hgOQgxOVj9KI+X
rg9VRUDs4GwEhMJB7JASwkyMQHtkkr9ROwBnPYbk/13pYOcFIufE6mna6bam6QbohkhtvhE45EyB
UOVJbUNVRfIlqvLm5EHbMLMpPc9C3+XJv6lp8FIDXzCzLB6WUp6kupKgLfr3NA2qTSlszbIO99It
14/lDPmE42Ku9JD8h7QMIKkJoOCIlmH778sYcj5Fn75TMPCi1q+KjqaX/+PihWZ05TWk7doDKPPf
ol1orFfvBIv6f1O7YASFioCr/69d+A9qF3ig0Rs15+fPyxaW7mUaSQJ5/n9audCBTPNeDAYlJaCv
K4eA0+QNeesQBZQ8ajogI/rJLxr6AzSfVpKNIOPJWpB6WHhXJhFtJ1+nYzS8ZRXUmVkjeFjzmTdm
A21j2E2ezB+UnBqXLBNUM9WIunot2yBA4VsOWdxlM72cuYKQzQ2bXjapXt7CyyZ4x5uJrIAvDO1V
AUp+SJfdFN3hElTCNSL5uiyCedPmuQJRfdUkXQ86mRULy7RqaApkPxpHeF0lwPs927wpynU6RcWO
QTFzwnXqXkU8B11kxznlIMAh7RVvaB4lcx7wEFcmZZsMeVAuYrfIJuZjF4oN1EP6bDLabNCwDKsi
a+kr3mp42wL8XO3BeaTb2KEN26wy5qOAJv0mwMsEd675NI0Hlndh9T1gk3QtC3lajWceAuRKl4y/
dBSC7wRv3CT5EtmkrpG86bDRp94PClh90VQwiwACtZx26a0IoEL2bdmcjDZ0J75lUQokPBr+EKOZ
zuEFFJFweLmI91m9MxMIQRtMqw3tcZ3M/5e5M2mSFIe29C+iDSQQsOkF4PgUHvOQGRssh0qBBJIQ
g4Bf38ez+71XFVmdaW/T1puwMsuKcAbp6g7fOZ7GDvNq2++BHE1l7JFpt20h7jUiU7G0s1cGHQuP
/TpeqTjkEO8OejSZ92jPPTXDlMpPrSdEKWMyHoLQdTtAO6bL+nH9K/LMdPGWNjyu7Wo+RyzG0KSe
xAMxkd0PSXxlPiK362Kv/r6Gans1TrQ7MK/7kZD2YYrD18HWKvM954rNLRAj1WSBqgJgYTDkkxS4
0wptpc9hG4aXKYn4qaNAijcunckWjJuP0Up9lxn0cEXubXQ8m9A2z6pTgczs4MkbAJHurl+Z1adp
BLEJXsaPCsIXAARL3fKHLRRNTu3Edh1AHCzOlAhcUgTpmIv9suJ0ebbaS/ZVncy7JMIQKSbm1gPz
kmbAGtHpVs2YPG2xZmuBpiY4+JaZ5LmOl+5Bj5Xpc0O8utm7MUB2OsT0r9q3vAxbOviFWvvmgQVR
XbRd3UODUWueVWtqjlEkdYGn396EvndYMW74SlFvHsF4CnTwwmjes8qltqhn297M6zZ8r4Em1flm
Ir4VbdgbzEAcyrOCxw3ZLek25R1v1Y/Wm4Jbw+roZU5VBPYe/MDN3Da0zRpDWoBgep6KYWKG7bRi
08PMgZRsidZH0vEtW3RDzmuaxBnH6PbWrPS6tKftbDvcpjdolEeLYUE2sMBmVUi/DKgD8gSUdb56
A8AHaD1k4VgLBU0fdY8+FGG7MKoN5rGm385Arf6qaQqkHvDleQDAcNBiVl/mhWPBx7ww2puP45im
WZj08w0HkZxTQdu7foxBlQT+mieLFoUJ6VcxO/vm22iBUGwKPjVD4h3GKn4NTLDliewJEKvWBz7s
x/TYLOmSrbqTuVKpOLBN1zs+u7GoVOQdGremRRAoelMhRSDO6Q4BIWU5R/TL5gjMoofJTb6CVnvC
GK3bC27ryzYKSFfmaFZlH8/0TsqaPlLptlvPrA7xKx3RiYjTR2uq4cliHjfmkiyA7DsfI1R/TY5Y
+/qtptYrRmer10Wgj+E5LWze6FiX3fURDSDRDxERUxE3zB5i6/iOyk8g9xDFFeHBcxjIDWn/ygDj
+T4Kk4Cr5gKK7BjgIZ/8YfuS1MRmdBiTkgzSPwRKz3nl+rbOPOvbR8CZP5jX6fd5U/Y81/Ztqhb7
Obbp1wHKhHyNEQMDxF8no6bobPBe+ZG+p4gLO8W77TGW46vnqqoUxGse6mlrm8wAH9/zvgMTRdSW
BxNzxWQxhZwICmubjt3FZ0O6C9nY76q+s+ck5VFZ6zYteeXybhD2GALTv6AI2YN4IjIDlROUXb/x
Nws9xXHt6seQds8tEJViHkZz2pS35ktYqZuUdtN1D4xFX4Vfp0ZeudSF7VKCHyBld6ozzedGMXaq
Qb6CpGLVQSSbLvqtTnaeGLxysa7NFtalCAbLsCOdulKy9rKKyWbKjq+QWS6ZpNF08lPfrJkfVEke
BI2QWcCa1C/jqiqa0GMvYu02lRmvF2C8AhNiuwVpPkie7tTksYtoxzoPNj3v587z9lsDPUc0d/FF
JEt3t4jIfDNKsX2slqdJV1EZiM0v66np3ibH570D5L0j2j336UIw5DHRa9s08mI5d7tBOnnhXpoW
fnNoQrWeWt/4R9I6/9ZOoH9qradD0PMkG7ukKXrPDKet4/Sba6hfjkwMOe9jgKVTsrxALZCCJ/dM
HpuwPmHIO+1UTd+bNpqLhbYbdGgOKzyoLFoC+mA7seUianAqBu2CLMlr1G3qRrOTNpp2xPXhXaJp
fAzq9lswNOPrWPXhARF9PlV2RLtcBHIXThH/6tZIZKxXNeagVL4ObJq+WI/ph7RhzScyg4TvI0iM
uoSeR1cNBdRWUEJE6Xzy5kClh0ahl6BDqBVWQwe8u3aTWVfP6gcEg01BV7BVYtvXE8YrjX/wia1v
U1YDteI4dH2v8nZePfUnqGxUVs/VXMaB9gu8sjavjWeRgo9BlrpkT/FMMxwOCRCNGYnSMOZeI6Nd
JKAwlQkBOLushbe2tuycFDkdUvO4yJYfTINY6DppdwbT8RwCnCpnqGEK0Xb6wuQCAZKfjF6eNpAg
B2PfQxIIraRnOa2gGpx8UGRCzpe17Zv7mM0MgKaz5crohnXKTjaG2K1IqdN3QRMFdwoZ4MFDVndM
5DTl64iKeOg5f2xRM2X4AFeMSWIzjO0hnEmW5NB6A6ZQvgkQVHo/S6rtptXNV3/12W3bh/NDt4nb
WQFOnr3tO+RFIo87eUkalWbEEfJD19DngNpbH7Y4akvi1+wTbVbv3Gq9QUi9TFGT+Wx6qWaibnr0
fos6UrfjPL9jFmaycPDflJTznTfptphq4mXEMOB1PneHNhigRSCjfDCzxrmN4U/mj8GXsDXUZbYK
p1MwkwZig77a+6SpsdsXuavDKn11ARG7VjTfZOS2mx6iiCjXYovzuEH3NZzHdQ/JdPd9Rm5VjqAa
jgEx4t4JrQtCEHNjH8lKZqHfHQHg9uF7OEs/c13rAUsk3Ys3DNU5GVhSyoqtOV8Dhu5+NWVk4esd
kJGvCTdrMW1NAGFVHX+VvdE5mO/gkAJMfZ4i8PqqY6YIJg1QcewEhVywjXF8iO09nvC2AijEMh42
/EWn6U0gp+WQxE7vHbSmt22yqZdOjQoHiq6K2VB5cpiF7wa2+hJPiz2zudqv2g3HNKzZXqez/TJO
fNz5drnVbb/knsLijqbUPDDeRd/8tn8loVM3s4IOqVkXm2/J0pxALUJxFQ9xIVlDXLmwYbqxlR6e
Vjm6HJKkxuWuBducmaWRZ1qtMue8/rH5mCxOnQexR8sgglrn7uRX6KtmszJLOdKalH63bIXoxEEH
at6ZBH0sAr+AjE9DmLdikgcShduPBRnpDTjYYOe26uI1dHyiTNYlRqvAYoDDFUMQ6++04jqnvTcg
O8DOg1gm6rIYg8F7ATwARA+iI6jhxe2j0JwmWfe3I3fkDNj2PZX2r7oRcRnbQB9cZNfS31J/nzrX
nZZZszBrDZv/8oBXqdzjen4R6Vq/QWhpv0f9D2FjL4si7R9IpWxBFOvymGzdZ677piCUTSc7u/Ak
+2W+38iKI8QxSLpIlQ6HSgRJnbGRs73fBWG+oChAvsl1ib5d9cgdglfFt/bQjEo84XRdcmJUVQgu
eV4ZueiMxqEuWz1iJ0lvW2WG6SsSRi3NewVm9zD1YwV1jYT+D0gzHmuwnmgMQWJIgpN1abWXbd+/
ojMd361qSbusFv4NVKH8xulW5AAWdFrappc+1AW2dmWNCiOAyLDycI5GRi9ZuFo571ivMVyOwjVs
84Bbn+OCeuOKgaw9smOMnodCuy2zKEGeNbwUSo1O9TGW8r6Gzn0HLy4QslvS5uEq21zIrS99vckj
mCEfB0diXrcObHmGZHbhOQo8SXPS8rVkowW9HQVTsGaeqIPd1DSP6FlhIiChjzEr0sE4lgZp9MIK
yrYg575qS3yMu62SodoHoplul6r1c1Jv4Q4seR6AxMpZLy9Avb/MapugkGrGg4LwpwwgJOg31kPb
50Na0afT2dG0OoCdvrdOWyhMLNLPmpgXfw513vsLybZqaryddtXyhuFIk3cRKmkNWekPhwHvF43j
8UF485qnyL5y3Zh6HzBOLxO6158Ui+GrwJFp06zriPjLcB7s4yp8T43pdi5VJJtAjh4DX7bH2AvO
XEdvV8z9GHeDKZp+etFBIM9tSOdD2kHQG/XhtuvSZPw8s4kl+7Vy486EIeLvoMJoDwuK6KldIlm0
dOr31LTTZQGUdoJHxlrWJKzfKVRlMnO2Top+mM2FtNWwi6Hl+0GSprn15j7Zo9KaC4aM7zRhlZ6R
GUAtb+L0MITcy+3IwhNExj5y2JG+oKWQfokTTc62ZsMlmpf4Pk05BjYuxSrUCfLwaYUIng3Ysiin
SMnbZXzYqobdLyuV2VajoxNxO11zseg8LHOIpE3S6YucldVXa4gwAc7ekSd/pI2X+Stn3xvQDE2G
/MXeK7LgwLArqhnkDadq4sMFh3Wc+0kVn/uRmSZTgRcfJiK7o/JSQrK4hzKlj4bq0xbX+gii3j8m
mgevAaQxpdzknCKTqCeE1nlDiYxR9LutQBiKxoxl4KfLronHTgM+dSG0t7F4g/uChVFA2N/yySLn
boXbeL4gkuks3TzIGVIuId+FiUADY70Vf9sywPHFChD8wjAFK+jWLt/GWnjYPHW7l2sAhW+lN3e3
eZ590JUk57ZS5lkEXCKbUCtqwVmaXV+z+SyZ8wWo+nGSBcQPcZxtMgi+u6a1N4K77qvfMYhFa7aI
+3mtlcr9DWqYm25USAKSXoubIRlBuch+SuoiXhryFjZz/2OYpB3zNZjVmYgEB/Mi4sTLPEWqe+Wa
CUcvKu4bfwIdeLGx8ggsaiIGaa4ff18hMrrZEBd/8FXz5Iw8jB0CGuJcXbwA/i5TGsw+HG+sOhum
InSKBq9/9ngdvqZtN37zoVGF0qniIkEMw4zUIVS9TwM8V7ZuxuVOwmtu+ATeS8I68LVNZf8jDEP/
HS85zgbSQInoiBdm0FoYU2BCyZM8ZWM7ZQP1MKcHXJiUA0o6aBElOVQ1JU+mtcPtWvu0w8nYrCrj
RIeXeugwq3L+CPErzE56WtQQdWRVypcXtSUAJnvdgdMNf14XreYoH4zwRYkEs/88rEuUZo2c8dOM
iHhOLbgTWIjdUcy3L9FUW7RH0ro6rEu8vOiKtP4eoo70JOy29RAZT7K/cBX7FKLdpRmehHEAhSqf
833cYUzawCNneJqFkUEZdiIsO+Gpupg1bZ+or7g8tklVN/k4J5ZCfWdtk28QBkE/lIbobBDs+moS
1BbDgKEQDoQa0GS3gmdLIbI4x25on/pEwKcIMutoN8YTHsiwDnikAZgsjvTfBGGJVSqg5Ql6ZBbd
gNGtHDDxygxHdyOv4q19QkuDf4KEEBV06pmwnALnv+sB0iZo/0SZdqJ9hcfADOl8BEVt6+lxX6l1
/Da4abwN1mU9sUhMDQwz+vQWDVn8eTmAFIAOwyuSMcU6RUVfXRaNhZkD0AeIl07mM1PITFIh+CUG
m1tW/SwOScUwxlXxyr8GHhc30SrA8sxgguedZWg85aJGgbSTaFrOufFT+KTA30A/weNjEXkzyLUr
RtjX6IxXEeaUQ4L/tLRqbibI+l7REWia3DbGIli0w/JFp1H/LKAU/ybmisRo0VHvi0eAZUaa9s/o
anoo7lYNV5pE0jgD4exerE/tW5+iYSEDlbyiZmC3MeXLlrUyvWjLkB/07cBwyCsPKqMB8QpjU+Tj
FbnSQq3hUylqAaRuiEjuLx7yyhGB9Bb7YOzyBc1ZmUOjDoaRBisfCmIqCB8nmlC+n2LnfzKtbJK8
HYHooIOFlWVnEb4mEBYqqN8pXkQvIggqrd/iZUphznMDPJeudqgeAXng3EUzuLtrQLcW/ZzUl7RN
2/t0VFVbBhX6qpm3YNNveN9ogEKptQPBsNYnECrRK+07LAJIcj63ZGTfGa3FTW04QRtydQgP/gjq
cfRCKKpaVOYKCtdGrNBH+tg8rb7yWcJs4VREbZQ+17WHJR+nWIGe6fES1ATVazmEE3CPWUTQBys4
qrzyOQ26A3pU7sVLGnHwATjcQZXYPkEMPuWtw8LFsVBd6pi1T2sU988yTerh1ERD/B3FjusKuH5g
b8BzFlGJ080DpOppZGYjeJ498mguSh1WROcb+oif2nUjyLO0IcMRipT6EUdRz4rEykoc2TqJg01i
bm849keXO4gz3+sWS1tCeXurJHbnGmlZatMi6sqVf4KyFo8zDsiq7tyQrEg6ar7tfKhdRflzcD2B
gPlhfK7JTlczwj0zFEu4F9f9PRoUOrfJFfNW6yDLK8wSochWiuwC6RDv8SH4o+nq3lqaoi3sUmKf
Rro6yGgrMZbiGpkVDoAy3WB340cVz1OlzaNq1ALVazAuOyT1OIEkwz+j4+zviVDrhfmJxTMA93s/
QHsVvcvWtg1KyJqhiYq++rVDhZcEZ+Nxr1WNYsh2HUvylQjW3tUjfKX6sddH3zP6mGrPP41bjXeB
Q86wHC8YTe7YDrSMFvwsYICA2O78prprI4YY2WwUcS6qNIKI33v0FSWlv2+F6YuIe/Wjxfq+6xdZ
XRzkKbuxjuaDxwMIfRfk1HmnNzykFeK68RzPelihB1PotCovqbzT2vntmmmNBUfmiIb5vIp5TwgE
4wUMcpBs++iS7muMa24g9t6STFCJSKJgWieg9m6BN49T/7yYAHtRWZbezWaeCzwHdqj61Msl7Wxf
OKstJiJDdNKYJ/CMJsCKSGCi5xCrey8Hr+PIy3T0pcWBgiw52PqD4e4iOjvMNzX0IGk2MkDGKgT1
iuRBHNJFQMQtIJAXPMJSmb1gyU2CyYdTQKwyv17dS+iPDHmjxSEVJRSAFV3bJyRaHux2Eo7FO4oU
+uraJKSGPVeLAxPZITmjjJ/u1n4eM2fqcMnqYQDGL5bgHj2quwnmIFmi/CBjCmeDBz+MgzWLd5om
N5zQmsDdRDWthhytce+wtD1SwC6eEeM9NcDsqRoj2D38ZET+n0nm/q6Y+5/7v/TV5nD4/0dX9383
a7yKFkDoAYn5T+PtX9wa/8ul96+fPpI/vRr/6xf/j8Yu+B9w07t6xIUhQBXAf/9h1pik/wMAVADa
HrhTFPz8l//Q2FHY3gYxTYG/x3EMZvHvGjt4XUC3A1QSKjX87n9HY/eTfvobgXsV2cVoQAFgu7qG
wt3qn8QSGviVaJNVHpKxOQwN2iNKLpg6bP6FKnburETVv6BFqJ4SC4Mb6ggUJNH0qv3+D3Bm+JHO
hACKgF7F2QcTyggarX9eCx3iFRt/MwfIg+IsRoMT4at61LD9yBgP250hENTjqBxfWDpvZVi5texm
ODaEGHZ+H+h7pVEg0LA+BpCg3qa1teW4TmnB2qHZY1CWZBMakiUE7sPdkLZfoez+i04qvpk3GFTp
0XX7jnD/2mk8GR3OJ58sYo+xsv7WpuOMDgaH55NMkltWr5/qTqRZtzXDfVKn6y3M34ZCbCZFej7C
GSzAyKIG5FtgGK4B+HXLF7agwWhryO1QTed/W3v3//ud/d138yN7dn168ICDwwzcxuNf5H2ii2Oc
tUt/wDCMwh5EfAt4kxTGmgL9ufAs+ub77z/x+j7+tnYSfCIsLdOrfBQOfPQXYPA/LS0Xv/8mhqY7
RX26/gHf+wVp/vkp8AFC2wAihl/oesB7oScoKDVPV+ehZ3ChjOE20fgRXK6gYG4HvFZYRPSIvjCB
y/BWTmjKiJu13w6qaUo4YfECnc14B4NKeIwYr5iW1f4BRfuXxQv1HmI0/HYYHOk+sKALDxiAAqj3
iKO3Vk8UZkejAoFdFRXBZc0Ja07tOpxJ6vrz718E/bc3QSDsjK7CgKuS9J87Zwk2BxMp2R/ael7y
ZEDjqLbUe0I1A+elbXmwQFB2yTqiWbZBLfEd+8o+T1WznDdlwvM6tGEmde2+hEEA05mxWKrBgUo2
7nbuwAX0Mf4HascYc9X03mGSVyhNzH6wkX3HY4mRm8LQACTgGx/q3F8x/4rnlZcB1eETE3P0ZhSa
uL+/7194y+vaIIiBkGNh/A611D/ve9q2bdKNxogT/cSlUW91032Opd9lsHL9aqYFrbkFuIkf2Qdg
x/3OH+13Uns3cJHS+cgwFrEUdhMxfHHu0S8N/3CB5Bo+P2yRKxkMbSVYb0yKPoRXWBQOfSAGc6BI
kLE9gjs4TZF8a/VjFUtvb2ECsAdZXAgzzKdZK0ze63XH6sntg3CgqGf6p4D4PJ/s0pTV0Il82QYf
7dlU3sGmFX8iTBa4oCx/iMbxvyxo6CMSbG4Mqq9a8H8+2y4KMLpIK6haSHqEKyJoz5l/g1MAimsf
/Wl7vWJAFncdn8hugwdGPvK4y820MSThhIOOmQOemYTNBRWKFbjapMAx6GH+n371DEmKoQXWQ53h
n2kb3zS+G3MHP6O8V3Y+Yp6lbjeaPnvK9nnXd0/1xuoac1EQIiP1W1g5WCS2MKmhD0snw2LkqNNM
oz75UJHtYh82etk2BFdPvfqe+XBA0Evgcs2m9QbkNn+E4tTmvXAuH6BDyIJOsbxbzIIKQOIYGHvg
1wFsm5gNbQka6K7isr7oWGLCQ/of6CqkBRRNX9qVodmfhH2p8PUe8s5wlJ5yTIYcAyt+gswPuw1t
MZwC5shn0EoRRYM2ssl2byh85NiM6Q/ykfGRBxznbUS9/36ACvEmf0qLkxDK+n++z6gzsIZFX+0w
cR92JzcqYl6O2B5jgqlvqFzPRM9vHiN/tGH+l5MpDCFGiRkETNClfFhJFTxjaswZzQETi6+x6Eu0
ab6N0NoVeBDAfLBxdhCfvImN9mhiaA59rOf2FiYgAELGIzUTyd0s10/obNU8a5GU/D6Q/JRtftyn
uMar4Ak8/y+HTCoDHW+0M4cYVoiZgXLkpkejLY94j/E0KKuHATZasDSJ+hzoSblaZCJRY5cckr8T
oWoqcaTwIty2BzHoV9RKTTmSPj0StKqdFZ8BSEx/0BNfTRh+iS5RBFU9gWVBgp//fKWmdvEKAyc4
b25w2EJRk+wqOEAWFiQhXFr9+kbpxPvGU7gaOma3XS+a7YKBngQLpzDgc5iZlxHpB4zQNrODmPih
ASOxGH6s4AjztPHwaKfHAW6y+dKDz4k2lJ4dBLZIzajbVU21Z90S5EJhCF5z75Hw+C7d3FvI+yDv
uqrfT764T1b3Bd/Es/sZ/KiIevQ306kkFF1h6ItGNJhgucBTdMLgPhju57QZbQ6HqCPcjOErKMJL
76MDjFh1hIZoycdNfOYb2kVefMfQcH7+/XoIPyo7cLAgsQGaRnwohdjHJdtJswZQhOpDQuH6QrdL
JdbnYJH8Fi63UVG1gc5iP9yNjvB8AMuVoxeOANBhAD8Ba6haV2J64RdhLT3MUZM1Y74FoYbAr8jV
ocqozygKZwABa5T//BTPWXgXcri/EPyliILQ8yD9jhy5WRv2qgeuX38+Z2UsKRyxLwFb2Xf4CObQ
0qgMsAvGO2DQ4CRTXX2BMFWzgxl2v3825F9WXQQjByTqiPqg7z9kOr5J5wH6Vn1o2PAA/9FzYBTG
5q4fCxeGn7C9vDuNZDDkcCGb6yUq2tlvdgQtmmKBB0wRiCq40Ga6U70p+4p/idv6VkYWHRaLlWVb
WAkGV/ZG6V7mMbSVOFTMnVj86fvv7+XfEghoU6HGR7MFPcGPYuPa6jlxJkFo8oKvdNHjo19vwSn0
twGkqvds0Tj8NtQOzR6YA+V1b9+xj1DBt1ebHmj7WMYEbwuHeHtsVrQ80rFBE+f3l/mLccD1MaMc
veplIG6CWuOfGx3uV3SidWrg/Qc2dant1aaN0D1snDuQZdV5Ugkcf1POHllDnzROsGwDhMqGpMmX
aXHYQl76MprmZXQ8LiIr1f1WjV4ZzYLsYdkL2EZO/u5axGY97ZDecXgZUn997DV+2+s3zFe9R+3T
OWdzyI+/v8PgqvT8ewCO4IiPjhfqY1gq/pptGAgXa2S27cHnw3HE2gc0eU54/Oz18V+L7PbDot5E
G9560fSH7PmnkczHz0amc9Xaxz4aUh/C6Izp/VBfjQo63z/WyD6E32MJID5GsDckvv0swaxKX50E
onnWYaJvFf3TEXR9hx+vAqJElFMwTYAk9cP5bOhaNfDk0of1yusStWBW55Os2daliDEIOGE3XnpW
w6tBNm0JG1RkfYDqRAS7NLgvFmKh/Dz6I3jepWXHRpm0hI7WLzRIU1GR282/eu/Bl9WANC5aGZx+
/xL/RQ93rX4ILh9LNfrF4gVlAcxDFng7eYL7u7Gi6ZtDoM+8qF1PDpd3iYdQZ21jVOEN3H8Zrd6+
dLAgz+DGCubAhG8Dr8XObkuSRRLPIJn7aOf5w1e01AGpYKScoxU+3wI0GQ4ixOv4wz18jG5YiCm+
iivGSg+vO+7Da4BBTDVYHakD/CtongKK++qx7QHk6c51Dc7GTZ/6xbHSjawqebAcAmChJYYh6oWb
CFnnpHNPpnMOd8QFRrpbCvq6Bb8T4A4xtflmKsT3Ci3QomcBKFS6Wze5FL76U1n4sbmDZgCUphSi
NySOkO1+FER2vudLeOGpgxraHQYR4w2Zquhu8CZE1EQ1kCuFd3AIPMDls0fTgwDPh2Vq1rcNgR11
/4dN/tOy4sMShzoTvatrYyuBSvmfYQxfRwIgPOjVAXaH+9j1HNBCXB/xNXt+tgTt95CpAxqyTZlM
8F2N1NaWlkoQz+H2VBu6S/X4cv3qg2yo26ODQHfbSkAu9zXUZxnqSyBb3eqVNTzVMpsIHI1y//vl
8TNL/ngLKawpUG3GmBB9VPhZMmxAapb2ANCJwCl1BJhDYDqczhWYP5vAdrKrMUfn42mt+h8zeF8P
ryBDKzgslpQ9oOKgn5rAHhuRsNdpARgE5l5d2qZzJzD2VxKaNmetxHDH5HRm3gSq05vLJWr3NPHu
e8QAnIc1xLs6b4DiwltB/CEkhsn1VfzzPtH9ROGK9QOpcsI+KPM1yC8MbGp5AK5d53HPXuGO1WcY
YZA9WUZYzWyd47nqBXkZPA6rIi5v8C0b4Vewx+uhBRR7S5t+RK+7NfBIMTWAmRgTTyqAMOsErrXj
VnKvsZ+UhDvobAUY+JZ/ExtLPwd+JzGG5OE9EyrOYdJ69SPgYgc2aID/X0cOfRete4y5Ari3yt3m
8VvmEiTnElxywNqHzi761rP1cLOR4Twug7qR1ewfoO6Ah+8akBOZZu+eK/MFo3GsI5yJqIdMJLs8
scnneLK7CCa9cGxdgOKMa7CDFnI/CfdOePWVtAQhdEAXAQjgVkSTgwYSA6xSUcCw6FQ0OwgiqkJL
2gPhEIfGRGw3kqR61UmUXFgKwoDBzLNeSFu2BN9TWI+bl0N3vubwhO33zRiNWSIa+mID9YkKXxXb
YPvbLvYxTw/THQzmn2V/NYgfATP36y0ce9tyafmMmrd1BbHASlMMEeHhzrt3ReVZTWF6g+DfOCTr
CyVZKoKdYci8IGxBFl4LmGmOHVihyKP0PWyWz6EQ3xy0neAA/hdxZ7Jjp5Zu61e5On0kYFI2bgdY
dayoww67gyLsMHUxqeHp74f3uZK9HOnQPp0jpbaU25mGBZNZ/P8Y35i3ug0GBiqVFFeKrL7Vjfis
lFofIJoRvpwt47EdevO8Ajk8Tckdv5pF+bVk6++XEYpmlAc9MHl9lc33dGU1TvMdQpMt+R6xZyLA
22ROVGyaztgBXJ38pc+nAHHBcwN4+K6d1AdSP26bLjtwwt5mEOP9ul1Mz8qzlxGb8c4elmW3Gr7J
FkJZGcsk9/SERJqBNiVFqn44jH2V+mNLj0WX6Y+iM6x7u0/VQMnjdmsMTRXMqj1sK90czk2fj7vM
Vezj0DjX4CIfDUc8a7Gq+QtnbF8vUJmwPUyu1C52vVlE2k/5kWdP3F/YKLTghN3RKjXu0Kyvm3TO
l2HY3FME35K4wVoBYN2DHb8Veu/u8midxUy79SrZ/5gVkL5hlw/7Ee/UaqQvkbh3z+RrRIe8mqnC
lHwGY+XkV7xUHArIuc6WyR5q6g2VFBTxqaX1jLzDQto+ro8KHFbi51Qqv+bDLLbJkM6bZi4kU79Z
IhlT9bOMCkS2i+DzGIWBZd0ue2wYlc2k3RnXXdkgbRh192vCoOC3ZcZ1XxBrYoHq2BrzJP2Y33/X
VplLk2sp9zQK0aMS/XDdx26511Mz/wrdytg2kdEfWk49d7Kt+80Iv+nOTuithkpMJEE+B41bf7U7
oaOV+1EkjEyCiBBFoPdUXfml12S/4ZbTXYpS+UtuR8eFbgHEiztKxsxK2XC3dMvZMIanKS0sOH45
n6wMT2GUK3g7GuTOWTQ/LIac6TtQdYr00DhgGamPlO6sQHV4kSDOJcCM5DUv3CHQZVN7buHQVnAx
RzvJyRqGLIiiCjRqIVz+2hpebtL0aMOk6bUQVX7UbR9+zdysfa6J5DkjxmLvghB39Fo5hRS1UhVg
tZEXgQN9Y18N9RI0s3NOOg0DmHkKFcI0CivfhKb7YPHmrSnKv5XhbBxjSph+HvX5YYjSaiudvrme
tWLCYUUwhd0Nt+i7kIKppX5lSM3eZ3Pf3vZCEd9wTh9gOJU8LYEme+QAY3EA8keJZWVJGUd6Zbno
2WQMh3S2mOnqPHy11Va8oPtqntq6IHUnV/S9UZnLTVv0HFCku9inCI1G67lT/Klnufb5msX3LLFc
3IVweHwY2M03yyiyR02m08laciMwszTHjBYz/TQ4WtpOtbd6El0j/Pua60a5N6To75E8Njs+kfyx
TDJrj5nOb4fWeVYW7BMMyGo7pe1yiPuJHlZezjW+McO+HwZLOUfOIAKpkepAP454ohoofWdXE4Yg
vCBJtNyPi9NCAA+tTxnVj0AdZ/mUmXl86Btd+RbO9vBWz3N/yEXWXLeGJCxBzfNm8hQjV7yQ0I+t
CRMchXB/m1gCyXvn2NDbETN7NtqJPZ0fy89Q6eALwRZXeBWwqatCm+evI0YGL3GE3IpC0E2hoLar
KnRDkzEfC9Oq/NaV5XfccrO/sOxsaLWnlM6G8aynmbGhMtyek7INfZSIoQcPX7xm7NTXLvdzNbXR
ajtJr0v0v5vKmLuT3k5HfAH2JjZZwt16yp+w1VmelvCZD6YRP8xai05tsW/KwdivdPxDns+pnzeY
/2AMh1s6ZO2GTRkO+NmE4IzFq7KiBx2K5d0cUuJNQjzyilQZ2IpQzsz+uy5v5clNIzSRiDMEbit7
GQ5K2yyfGVOuj8+H1xLmNjajMPqkS3N+Cru+ODDk1hrUcLVult0JhVtistJFSEM3Ipfhkw059xa1
AxPeNNaNZ+c6DsQ5HvdzzYjiCJXdDIq4TQFdB5NldL6mC9ThZSb2kVuX23mYjJ3sx/pUlChpNORM
SJ5sZ0Wk515T6N0h1I1iC8BXYGapZXJexrD+4DBovLf9EnCcVdoGBvi3iyNpFydSK6BK7RPOvldD
73qNooWeicTNK/rC2Fd6AULerXBTjI4AFe3WYAWtFFNtuSzXS8jwCjPV+IzujLNHFN+j7zcP7DK7
59Dux22KnL/cxGMyQ03ujCBc5uZbVy/mjzDt0e8rmVp5FgrUe70t+4mx2lfPrbtYQZ9aC4oFIW/n
NLT2NSY57ImQlbfg9q+LLgazHCl7gBNTwOz/BtgSCQrxUd7f9+IrnuJyi0pz3KJsA/cB8Mbvpwlc
ts0iFxD7um7OnuD/GoxVVm3qac4/uJR22QwBBkUhkBIrPUgD5MTF+1j6QQ52MRV7W8EKWgJLOxhS
vnRjFvvgtudtnkfjvZtb2yVCDuYOaL4iWateM7GyKsW4j7LuQEkBcZZYHlRbmfFPkzCiIF/64IzC
2e6dJ+NQtVw5LtSfLyt0VlO0jhhQprDfmwINwuTBxkCzAXSNWD4Rz6ZIoa2D+Ec4y9aUhJYNRlmE
7oWjbIxqXdpUudH6tkRwXTDEMspPPvjytvfickhutUiDNr1kyU2HhuyQzY1yrpz6TULX9bI6HPnD
RLmJWHevFJsO/NCr84+wUdPTYALBQtm6a5kOiQrLa/MzSwKHBDHNlH4Bw/S+U0fhi75M1rE3ioSB
tcrMKRue1P5LnVQO7jM6uPgEvqsLNiYtjQ366sxOzEnpVaOlp2UFAWlq+0wx/IQfwgkqVXXOg9HK
RzIK2pmPKWFTkur5pseBuePM3wWuyPvrOl+SwXOWFFaSFqKrNJfyNpoTAP9ayvRhN0eUhNqtbeTp
bhzrY0X1fIN5cUScQLlztrPXpMjltyKqbuIk1gKinb5V5XSKsAHvkO9cY549aBqaN2GO7R6t1C5L
l4hJixAn2VbtVT2rNyoMjjPT7fc6GcWd4XRRUKF/RPIQTwRD1jpSBDv8Jiwt2cEym89JXQ/nFKsa
O8iGKAkFhXxOYRr/bbg8KGY7nJZubX8rlfBCS9APFVMasJxFWIFMvBbK9FJEEfN76x4GQDao/LEQ
95ynp0bg29XFWyQUQgzyJwhP5jZ31uAqG7t61UcCa+ho3vU9wsQijrQ9gUSo+PsJJ0ZVNn4oGAg1
cpcdGR0KnpEICayYk02Tam9pkhdvCxmPJwPzwxXr9uJzoFmCwiLsK2aoBy7zFNhy58ocMIg0WS68
yRw5BAtaA3+fW37W/C4nF5L9KAtDszb+gE/H6lLGcQSqNdKM7N4ZTeOZWDCVbbFh9uRvGll2qomz
kuVU7Kwoek0FaoOBHTRWvHifwa6/jRf9GvOJFkR0aZDw4mism+4ohkxuzbBbdpgPy6PIsq80P9d2
qZrymBvM1hEZEpqb7+pGTtcuAASvMicHMUHUeLNleTpARVIcYBSLOa34u7PavrPVWWOXkjvXzIvC
D9NhucZ9l0J2H5OzVo2MpVrsFl2Cz6Y4v5dhn5Hb0HwAHnunlgv4lTI/nTRHo9pzEaJGxwKSSNnl
+1rj+FJXY31PLaUGw+gGxMG2bMimtPYzp3uuw+a8Vg7+/vb+IBuv07Xrgi5HiSFWdcrvS0PZRe1g
K9RRcQIGWJg/V/3QeEn1aCXzJl7iZ0U8WuRkmgnOKf2Dq7+zVmiqIJaJBYN7+Nlr/AX02RU9/P1S
z/eUAzOwSfUUSG7Xp1w37FvF2C6tVQVWUbabYsiWD2RAf+hl+O1c3rHXZq+AA3ixVCnkglSly+Un
CAKbuFA/tcWU+FqtP+hp/Vgu34qOGQLZ0tZIAkJwfIoIPkYvx/sph7J1DPGl9dYLY1d3hvhoKX1n
cdKwEYBdRFOAMG7d+vzyeFCBqGrNxnvfkCTSd5RDLAy5aRYY/YCuHhwFAIJvtmRx1PBOPFrpgh3C
sF/7HouZY7+i297+fbxcNqh/PjJzLb6vmia61L/fEiqzcSqckuEi8ucoDD8NpBFRG2nZvQv1iRi1
5oP55Y/G0+UlL76RysQxrHHW3zuz8miQDLXN6+ltmaLvaOdVhAHlbTLlj8VghlQiDCNoHO1uIlgI
M8N1qqfdbT2uzgy7Sw9mbMnN35/IHx2n9f40yvh8RZz8NO2iyddIKUkucQC0NfXgEdhgPMxdfx8z
rqpO2oc5Aq+RTfntSJ8ZnWp6tzhl8cWINIKAKku5y0ZY+a2O6Br5NZ5QawlRY6kkGK65MvgFHH8B
QeghIjcPTZO2933pOhwxFpR6HcopAqvQw4bZ5AsrSXdWan0kTHinmMuPZIJfZ3mdXeTFjxywIual
Bu24KeIrYcEycEqLolteU38wb1O6mByCjThIQ0cGVcVWbqKOhCuOcCond/VdophvLpiI+wyn4bEU
xn3ZipKqv5H6Rg7kwsyy2vRU21h8lWM3fYIu2iAPTLex7PcCQXfpibrpD5luBmC+l09tX1zHXfXR
Z/dne2lVVtIEWAOe0ZZefHacF1TUnymdTtkVARMz1aqqNz6bUuluVonnAG3uVdhoLiazJLPFpgbV
9K650xBPmYNNgiTbt8e/j7P3vjy67A4MRYFE5LLMHBdtpCWaXe8Hw/20kFvWzdb0FEqoIJTVyaPM
sEr+/ZI/uwwXSzusO1WgzlfJJLicgGLORimW4HofmynNNKmXnjTrZcfpRdnOczhd/RQdxF1JqzVr
s82IFWovQgMtkfPxi3lvPqTlSUvd5klYl8eYQZ2StBEgmpEKk0foLP4QTd9xAQlvqHv1HqfMlppE
9knLwTUMMc3xMZVfGiCiiwNQtkrU0EtyGX8wYt57NTbqOt4KUltbXwfUL/N02AqtKEa4zeib9qug
cQM6Nty6FVrSbpwR3VJ3+ujd/NkGFkieLYPmoev+CYvmDK9lc0m1v4ZOiyxPuEecbXfa0jU7Biq7
7Fw5U6q/020ZWf7P+/j78FiXx8vRQcdjRck7hKNdjo5pWuJGxfO0p6oZ47XBJI2H4PpnT0mEgrps
n5SglPR/vwbp7DRRcVoaAt5LJcKEBCnjmF7vKyUzfSMcxpuKrl3XuIsfFlZ/kwzaB5d8b6NGEoGx
dr5NvIOXsgISeAh4bRBcsyVl1h0566dAImrM1j7SnS3dqw7Lxmj4suE8oajpB+/7nTGGmGGNK2ZK
0ulT/j7GpqnOHS2qCTKfzW0v5y8Jw863+gQzcHaHIqTc/eu3C90aoSz6HoiRl61+hXWgEgZ06yyn
DhXiEtqDtEGdK0f1wHmLKK60v/pYTfnOR75CQVc9v4PA4VJMqTdGQaAhnU8O/YBsCjc/IEs2+MKn
5oPt57poXQxgvqF1/4s0zOWp/v5MCQ+D62LldFLVnAA3xzyXC+6ZyDQ5E4x0tf7+RI133qGgOrwK
KAzqZ5eDSIwccAdZEujkisEDa6MdtKm0HkW/FPd46NPrcLCx4yTpjaN03xRYJJ5hScVDafcVppqX
zteFZi14uV2gz2qyazpnvMPH32/yqlav3J4Tz7A4w2NtYPPJKsf1zW5atskCHcSEd7G1rNHyUAge
mF7lZhDltymOy4cyXU6jOb1MTWHoHE450DdYYj2NFthWrc2RDa7EXt8VeqBWuBuqYdpXyVh9a81q
2q0RkA/0lj9KzF5dJJevCKYAZmUcFxg5Lk8I4wi4awTUskcvGbHlTW9aKwpSPnBjfSBrqV8DszEu
1Ze6dg56990JV92ESmR4ToAXUYb/vS3/V0af/xh89ZuLh/gs/nPp4fntf/If/6L/vQSt/+j0If6K
GhmlH4Yw+ioss2zF/7Pn555Irbpv/k+QDEmbVOWvYVzv/lX/uIBWrw/lXPjKJtOA7aybkvGt7f7v
f61JW3RCKPX+1J8xJ/2WtCVI5WIt0lcH0aq3QSPRxWR4mauriOnEheDLlAJA+f/niN3+Mxn8k4MW
vVX//d9/tY6sS/kvU8Z7T+DXpV6vZkUnH3rehxaxthEIpzn/YOJ99xJ4RDA1mdgbxSq4/GU3IWar
Gyxs8nsydDmZ6ndxZr398iLe+RUXE98/v+KXS6y38Msl7LIYm2kiqTFSw6sqccEpkHsHCcGzrTj4
+7UuvuCf16LwjL6GN8NacnF805yOqEphMFvU2RMu8JNo14bsuP/gMhf7oX+ugxVNJTNI15kxfv9N
aMa1UdUAqIi6704kzJ/MuHixe9RgA71zddAoLlQNgqPmnnCqxzjV/D40dlFknNSU3J9cP8OxwI7Z
x3czXgOIf2+cuAuf5KMrLns10fRuHYjkXZPcAlW571ssJKXsCH/Gt66MyrlcT8PgoGMvawYtUMRC
Nrn9tXbd52RwT1NZp+hf0ioYE8M3U+vAtHetDsLylspG3uIKiQcKEGPpag9NCTywnMKvikWn7oPH
9ec4ZivBZ8xL4URxWfbBHD2WzmxOkAbcfS5bzUN0ejWnqfnv9sbra8Gcy3VUgzAOvr/fX4srlnru
pDPtpyR+MCN6gG7oEturP+sxagjL/WC4vTO0OaISo0QhUuXccjEMRpOfsCjhtCfzaSNKSZue9mie
Bzk00L8/w3c+VHIYaHGg00ekdTmyGQmoa/oaCc/aYq/BzdvuB5d45+NhfyLIYaBAZpmXg5oCZDIu
kks4o9hOSBIyBIBDVXwgYvpZo7iY1pDdoupf/YQcYtb7+GVCUGM3lEqhTnvUw6rXVvKmnupdhI0D
7TaKMSoUP0yXSBiqvYzv1AdNN7Alq99atbgtHeVkjfnWAqP8wfC5PIL+HD+/3tn6vn+5s6pBvcTz
Z/y47rFtJmhfXfswmZIedIfF0aStNyjOIdKqozklBzinOmro5oM0ivfeNasI649B9gqJS7/fhj7o
TSGiYt4vIOobU3tAZPuRL+69obtKKfHvAWe3rIuXgCJB1fKmn/cIt3L1rrFv4tLZ4iT74Nt/77dQ
7URUyHkGyePFdXpi+SIn5pOM9C2YSUd5/vt38d6gNSigoFPGsWtcFrXjsVyaTiJto6WMyArgWxhe
gwL4QCP57uP65TLsE34dGSE4XCceWYpz45trTXTr8ErU6AcjY/PBD3pnbXE5bTo0mEn1Ak74+6U0
pRpaDcHkHqPIuQZS44nCvB7UYp3R947eo0XQu6veag+jnO6ItfjO50ZwrIEY3DGW/aQB3JzFi4jV
+0Z2dOZNs6esj5bNkM2bQ+831kl0Jwj7R6vCogN1fOU643PvRLeJLr7KZdixAX+SGhVCDNHCy/sx
DsRQb5YsuitSNsMdAOjN1MoziphXOccnInBf48Ld5pFyIAc6Jf25J5ds3NLwgJAblwHcjw9mrPfe
ikmxml4GRxx2a78/qhzvSZNWvBVbLd7oEx661m6AIUyHVqs/+CgvmxdMDpSDrJ/fJAVYpvzfL2Zi
tkngmSx7+vADvEyaa7Xp7iDD7aOp3UZZ8nmh/oKqRXvp6CMao1Z+NDa4xO8zJ7dgY9ukL4M7/DIG
zpzpuiIxU6lJqaeBEgiNql1u2R/M0H9+U79d5mcR+pdp8H96mXUgX/4agzYQIbdEyjmXJ+Iorix9
mBLent15NXzc7mAWsODa7VR/+uCjeudSHKTZFZJrpf8xUBKt1kDdmMuerItv5UoBTGTpAbb417Md
gYBYvihQoYBgx/P7GNFkPJD0Pi174D9epmsen9T/5BLuemhZS3H84/dLjGlnMBEtC3WE5nsmVVrv
/QeliotO2c+RbsFVIZGVaUhcDjM7Gps5q8IZaKEOotf8HgHl9sLFuRmL6tlAUUJeveaHVV5/8EG/
+5FZrHjaT308ctnff10Xg+YyaC3tR4DZwexqm1RDOezmBpIiCMOGOpSbXNGOTh5/Jyml8ahj/fj7
YPlzyeL6bB5ZFDkT/bEPAm3l5mYOs1GV+k08ZEdZGvUHWw3qtesq/tvw/1n3ZzCK9SFjZ/v9p+p9
l9SK4fR7p8S2J6ATg/7V3trmymSirPpxDwTRmfeKuLIIHM/lxtWA83BugEWrfFbnl6R4Sw1Pb3Zj
eaeApvsMUWiJXmW5KQxY449aFHsF9lV9usknpKEhCGL9c5UeqOYfBeIf98VN5oe8L0+izGN/yPtk
kxhgx6uWqFIFhKprBZbOkUPgCktzOkC0hgpNXMdx812uzcHws/ojzuagHgD7x4u/uJx0MJ/ZGDOa
1NhQYN/NGk4sxd4WmC+nGgobJtKpA2f2JpFDDYXbHtysqFlQSzwzaPHCMmiRfYJpJp8kxDlXGq8I
PoMSx7aNzKHtAaVOM7t7zOJmUCvoHSOvMdQTeEyQvdykWaIpr4ftSofPQMXGAu4ilvJJljjKO9+R
5t2oF1dyfEFS5Tv86FbfMb1vy/jFBZALeT/OnsNOv4/LCpVARl/GIH5Jd/ZYmg8aav8+PlvV9yQ/
gPbDOiE9E6+9ixRNV9RDHyEHV2hXAgaVaYFeQqIpDIc9sLcQjhLre5geVa2g24xZus11r1BRdxjZ
TgXehVEiC2qafX5q0FOkBWELCNr2Q8dGiiHqCwQjbB+estIgeru7mm118c0Jjj5T06EHHcAx9LMZ
c+QmH0CjBHe0XTi9FOkGnDz1TZxBkzOja1nfj9GPNowHzpHtxqrm49zG6w3Euw6hAHrW2quzmjpz
8pgl4solzNWMN2iHOYiMm646DnWgDu2XKer3bjQ8xYZxMPNHlyhwu3Cu7GnZVchIO3vcleGjDco0
ixa/bFDX1FcpRVAyn0CAJh6AWJzg+xJRDGgfratuSAjdu6Oxhfl1O5DyrCwSdXz9yPz4GrpXlaEH
MAhuutb0EuS/KE6rTZdAM0xuBIBxcMPzvnWWa6ta/EmPr1LMnAncjUBIiNKYSNFvg6vIfAAZUdgx
wOWGIANyr/WgtM9VHQWm89hGGy5rmmBb7+T0Jnsd4fa5E9sahlmlYIdC6oeY3ujPJWLLKOjpUQys
ZUPTeUK+zv1dX9wXyt6J9okJme4kqhvyNTbawP7+JUrOeu3LlyI2DrhYh/ooeWIS3LvxMk8YNskd
rxxEe6cVP96+NVJDbZh5gqc1P1oZ9AeLYIiX1nlEpJ8kyP6U+AvnYFpWMAjFbVm+aIrl6/qN0Yde
DR/VcQNH7qLcDLKwhhRe83SqrTsOnqq/oAX3RR/6Uan5stB827wCEkUyxnxUFnXv0vtNJ3sr7OXO
LB/14gcOUCjTh1K7Iie83oVN0OSNBzp1406ttQM4gINiqpfrDqB9YCkwMauVTtnJF1Go5yEK3b1d
C/ZObURYRbkEo4l/pYvzAO5leWOX9YakCQjJWLQQA5xs2QaLOgBBiDgoQvqDIj45kydtDRQZSwY8
NMfeLH0iv/ajfewGtsEdaZWeMsaHgVoKTl5nOVITvE/zNNpSU4p9K6UzHHHqa1311Ocmd8jZacPf
GXmGGX4HA1DwZzhHrH6U+ySxF19JddRaev/YWgqpPqQmGLdN0p4Wrfya6vomdpB9orXHvT70PdgX
hC7ZeMi0uQXEZ2uQJCqPgDq+Dlk+LCmgtWLpUB00MzzhbrjSMzCkU35jlTpp54AbiqKwN0qpevZQ
7oWxmPu8gy4Ghjn2s9Q9dyCQVSv8FIk7Wyc9Mc0gFk6+iR1mVHCeuMMutOcv/RxjRsWD4c1E4wUA
90FYaBNgc7FVo8EJKBJ8Rkb2MmkKlC2t29KgntjyG/d6w2SVdfqBM8M0xn6Mb5qc5cocqtMyqwbE
HmpX6GDHKJ09GFi3YZF9NTvtLrRpihomkro2Sc9N2B9QG1PbBHAU9FBx5JSYpINbX8gLOOf1fGtN
4os6fOvM5DYFRJzp9mls8pNLLIOnSzkw4w3fAK/Xnmy0p5QCqTe05vdRfsEn+FWAaEOrgD5bX3wk
/3dZrZ5gvj7y6n7EJLlRHvzeyt7k1SunSlmQVY5nXOZAbZqb2jJx1rT3TtpvgUQDDVpei9asPUIP
mLZ03+4H2ikTbEtR8xQ0GeTudBtZxbM2S52liYAEvoHZza+cbCAIhJgbuz+MpY19OpSnUZpf+q6O
WYjLI8S174TbPNF+ekxm9xEeo+5bhXiUdnjEp7ItqumuSi3fTuMfcbrqIRT9tV5JI6VOOJ0CSW0K
90WnBJrGmJpcYi8qlxxou1ITP7PXpTa2wk3qjsBt6+o4NuV9FeGrrTVgJ6W+M6G0dzYwaIH8CBdk
jwYpH62HLCtdtJJ26KerSsxFe+G5YGluQLzmnm07UPXdZI0LfAxb/QnSfOcNXXVVFNUX6HB+WiGJ
UbSq8PUlLPy8Lh6iKXutgEaHriAkvm1S35U1EQF8mIrWYtow2sbLsrne2HYV7bCs3ofkRiptmXvp
2hNcohYirzjGCkY0tKoe5ll1E5WdGuR9t3XU2Mcqh6COfyn7O0fFwQEKJqBmvwHa5rca0GXLYCTq
jTmgqHAOzWIxMWmsGq4hbf6ViXC076m+jJSpogYb2jA9xZ3+Sc8b30S/Ro/M+VQhxw0cbbxvaPl7
YhoNjJokZLOt8lqW97lojmqbHRRaqiw51lYJo6dcUz4hl9xoBTW2cXE9zayOXTMi/aTX1aYsGBRm
6jS/1UPltlXzW072B2IGNqOx3LaNdkI3z5k/yZ+dVD0mBr/OGrZLSjhOpmh7Ygsfajk1mww3rK5X
utdI8dyXfJywrk8pCEdfqslCU4snpQ9acVLd8dSnFUJXCQghi+TeLZV1N1ECaLKvJ8U5RvFwV+bL
WxTDFjRShDn1xP7ViJ6LCnkN3jEmxBYVpUXlTmlxvNVtbnqj2bebzLaQ3Wjp5zgfNnYKuQ8WKHjU
ZySPZAgkg7XLa/2cRflNaMrVXEhNg2L6Yy/Y1k2d6WN8esEkcKNbgFrHTr0rRHFd20g/JLkmpkzT
674XN9h4DNJg2EDYlbhfBMzpdY420w0CKUAi+Zn9OJLPbP7UmVHst3l2gxHywaxM8hxlT0gGMYS8
EK1g5Cr3zkJFP62FV7rjGVz4Y892V03Nz4OdfUqNXCfMcLofAEhvCxSeRzNbSILRgUNWIRgVPYzA
2XRYEfX9nLUGQYzGxi3kfmzFa6mbb5BLO1/FeuEBfDvkMctLH1XusehZq9cjgh8OYXSErZhtaYxr
J6MaGgr74CWEfWaIJDtkQAaQC/juEKCAJTfLFZ5595BYw2NoZDdJP+Jc1eHkO+dUlsPWNMyvSqdu
AagflxCtU8mIBeltBHmnmjs9sq7gNMNsrrj/+GB19kbDYtCiqeeWcCSRxUvz9ktvdlu97G4oSvtZ
w5JkFZuqsz8TgM2fAwDGukxyFliR1g/Zh5KtgfyWfctI70FySjH6fKPU+RuQNLAj1TZ2+M1uckzY
qju1cWTobNR0OLqQz5fBTUkfqJ46c9kWBE/xFuZTTKkph53Zk/iA/jhodETiy7S8lIVyTor5BVJo
jjUA1fkCl11fzhqvFvrCrsGI0inTrdOanyIXKv6S3qnKtzza1gsnAqA8h8Xg0y/q+qpNQjIi8Fam
HEFiamRIj7d9N27RquzStvteKu0X3TX9QR8OpcwfOj3cDCnbBeLkyZNwFNVv2Ju2SAILd/yy2Dky
43bTGWqg1uFm0W7TtNiRuhJI+U3OMDozVI5jhs6IQJ9GPdmT9lDXYjuQF1Sk2V2PO3c0TgPHDkPF
Ja4qL8Buj5r2ZWUR1ETyZM6rtLd9ZRzF8kzgcCRv1OhNH7pDLbEvjg5vQX10HAzSHWKE5VAUcpM3
1m5cFDKP3PNkqhsxtte1doBVT57xhoV2gwjsyqm1ezAA+35I3gr9UFafAFvjLiSLCDZTgAjiuqyJ
k2tt37DJAIr6YIaeWq12ww5/tl5uTcnDgxsUzAa5XLY8LEW9g/ZDit3k3Io62bWrWTtmS9GSoaEM
yMrHvn6NyDHCNHkFhWE/RaHfiu6zHKODOYqOA2F/rbLvtWF/GKtJUd/ZYXHueqZeisM6+b4UZpSZ
xBYTzJLj0kkjMsYL8/wYOeWdkYpza1m3WQG82ARM7Y5XVhLdjfjj3K7b9JzORG59z+L+vpZkbKX6
914nxQBY43HR7c3UN3S5HKqzDZM9QTizYfOCm9NQu9d6g2Kg7D8nA/UuvL7CrE+dO75OC9WNEvMh
CnQPeanqacuPsiy+12zEkfsjzo9vpFk99IzbPLrOOTF6NCOKII+sp1JdDxkjng1ShD4TT2xVPXrI
E+aPnbMkjNYnl1idMq0glO4t7I5VvXyKxx6jhPqQEi7mdVnyyZJih+pnR1dyZ8/VpzZhfWliNYhq
VkWr36pzuicb7jwVODXtaxA2WHNRH3Eohn98dAo+8yV6mPAdL2107BTxxNQQaJMNbGk+62N5wtBy
S9OUHrPvlPoN3il6zvnt4k5+aKjHNpE7dVC3LrO5Inc00vw5Mq/ypYH4pMeBCxh4wQXiYRPbLzHz
pAL2Py4VD0lWoOXdgfxDyt8wyEtefmj8EEmFKRMTByzW4dGtkq8mhHgxjEeTtANDre9gVULSFFui
VNa9/5rFld2ry3hVtc1W1JbXpPorKcC3Q1cwx1nyOquza6XFL680LLj2ICkMmBtivV8Ts3lKcMQo
A4SKmPimtt/X5rKxl+6TNs4HQjFAAplHbO67fHUXZ6uxWTtGKg5JsCA7Wd2UunqF4TmYmPwVvfrS
ieqkzv0NuBeCFdNrHEKeXMTOgNFt9N0BL2+gh+si3AeZTL8wEH50xnxD3jyr2dJuQiNK/GS0J7bc
ms8pJRjWFCq6V6FBwVVx8LTC7Fxzk0AxlhJodkO5RhgIvwn7I7DuWEkYef18EP+PuTNbbhxJs/QL
NdqwL7ckwF0StVHLDUwKKbCvDsDhePr+mNM2lRmZnWldNhdzVWUmyyAJgo5/Oec7E5N8aTlbjOSA
2DX1IsVwTsx5x2YmzA0EtV2wdXV1HjV5ipHJeQn6o25+yOhwKAP4cROZZbIKd3mz3bFKq3tfS7kn
ZLHKRHtX6Dq4kVKe1BLzj8dn6STw4rikuojGPsBSETTfABCierrvkPHbbYwd2byxZPyJZPTNbk1z
3ebDrV8qqjplPmA6J3VI1h+dBlPNiNXTMuDJrESGA92bj3Wnn3ELHDxFSVMbe2mYoMRc4kzkUe8R
S5Ogs+ln95T6OG1IVYg0ErXadt4jOc44l0g3HtLQFX3U2yXUgwlWlgmVUbU8zcpDmQn6yCaJsqb/
MBzCkQadSABcxcGMhavjA+q9G6WgrgfOprqXhDPVD4OTftUlv4CkIEcv0MG2m1Oo+TUJGvLY6erN
nt0PLfOYZvW3kkdLmvWHKtZeE/DWXjqdazvduCioBj+N3JzfBP5yswNFbJZiW+Muxzq3sWUWQnKO
bCoUulTqcXnjqOQh5cuLs+FgF9rGn7vQzwqwAuJrElSR10xQgnu4gXt5QLG8X2rxpqcev0U4bBNT
QGVInC3qwZvtW28UR6AVcHNMwrAgyx0AYb5p/RcmNI5I9OpmboULIMwWc7dXO+veR+yc6uyiPLgc
w0wMqLtdfHM3zRuxHKxA8UVQF2W1fmJQtMIqGs4CutUidlnsnlzmO70fX50WWFrSsGDTQPvNxYyp
IbAKYYa1WW0Z5m06B0+6JKgiM465+bOT7blMq7M9+Ef8fU+Zq3+QRRVq9F+JjveWQ87Uqget799F
IMiQiftN0DLoL3Nn2rN6YJtmLLc4hnnw6GFqJxtJWIDXHgrCMXMrJolG099NyYO5K7Zq8O5MFWtM
+pZDspinKs725KxthwBC20RgjiZvYequsZ2vY8M6YgLfE2LOOJPyd6rMDcLwflMOV1NIQO1vY1jS
neqG+BFs2WppokyjjqZf1MLYdwHKTdpbMuQXgzppPzrFfBq9tt3gI8Qe72Jo6IbW2ckpvVimDKis
B9CkbXk0GueHEkC5C6buq7jqkJUEDcfZ9KWr7n2utddaY47CTdhX07M+eOtKDec0tX/QvJ6JyLlw
ED3LmE4fpWDE5FutKr85oaFWm2KCvilajYBJDerH1vb9VzDMnzOpHOvR1s7ONA4hy1bONC3R910x
fcoq2YqRD6dlE2kS1/Gl1z+PSt+5sbWnPSUctmOAJpejqpezqSu5x0c40JPr+toSFF8aEXKJIdYu
V9b3ktOssM0tpvVz1PIpHJqc7ep0mwb506wvt2Ca3jqZnnOmorxNgeWQeZ1i5acVFbzEhnCE2sJt
11d40GpkQNnwatTZ3VzUn7Uat7PvbmoGA20uLl5lvXp9s1cjvvzGZgzo7OIGT3EZ7+MRA7XOVEUY
RAqVxoaWnzlsSxqcpj0MObev0JonP2/vu6wno2O5ncb02AnnLm/sG8cdMVOVl24Jnp0BTJipGOV6
s/cjmHSQ/AH1YMOnyW85GjbFOJ1ny/+UJcZAmnVXMUEjjqCq2mTtJA5xo57x1i3F0YuHZj1NeQhe
5dny/Gcgr8tmsriacF7ENokRHHneNeBjsp4G0YEyKyOShs5Q+RmHtPi7jXYvCFPnkzl7XD+vzlyj
6HY3CcmFmS6xnMPCWM816SKd8w66JFSjjMq2OYm0e8SKTkPr7LtxpFsfoiHXCNQ061tb5Bffy35U
ZGt6Q3JRDitwGuNVqsRTac7PwvcutsdYPrBSDrlrr11zYEsc0+Tb0oS34H6mLPTtFJq+5n4aXp7w
yXuTiWHx6Pd2BPksCnw/UiUkG98gt0N7KOPiBpJtxpZqDpuuu5ECdEir6eVvyxCJUbaK56PR+fYq
x6+56mnLwqLtojrviEZkxeb0P4TbH/ldMtDVRfIMLe4smpnYBhG7x5ZO0XLGcu348ylbXCrAvGLI
qwcnQgcewGLf5qORrRpNHsWobTuIqo7RvXuifbTj4kDfsvdKZ98gBANmUTWXwrY2rpNuEsc+L27y
PGnyE0uGGUFqIuagsjdyRtXKDpqjZJj7w5TWYlv0xnkqvKda03/MiXjoFIs4Q3OIJUv7k81YM5uW
vT30T/jIwqrhX2F+v+5hP5NhV5zHxIDDNdkEzA35o5yHggGj4/NEojiDnDhtC5tFz1zVJ1Qp5dpl
nJrVzcFAQSwWY97GCymbrOdheln5sWs1Du2+iSRXNWxyUg48mVIPTKTTBDNwyjYzMfIFhJEFtb0d
O/HRYaCJjJ42ld4/JkXWfl+wsq5hWsqvfjLNVZOaryTD7WLLTjDbiXJNpNazKKqNWugPxXSZUkAj
cZ/ctNI7tl2+sT2E45ryIMHgj5aicldkXP4GKCRqlqTivD4yODy7LWuBJqmfFmHoWPuYj/eug5di
0J+pSxXUBjowpTd7Oq9HLwkI+LNu5CxuE44G3Lp1e9N143x2IaiPXvfDhnTK14iww8KEXIv3vKFC
6/SfZj/em9e8ggbx0pokuoll10K9PH/3i51Emq/z75nTE/aWV92b7/PMvJATGbpd9sJGVKwboPPg
HORT6RXvvcevNB61deVML3qCLhsMw5p6jtQpoMOrPK1Oxpw8umN5Scfej2ZDUBtTztg85KpWReSG
HMWiHZKquks6a5XP0/1i9fwfTNphbcCrstrmzUoQdJH7HIHP23V4SmJnpmFOu3UymdddSAs4JY3o
rg7E0N4HusFPMjv61ESwgcuDMo3PCRAIWDr/hVVjCPzlkgUd5wrWHFoOGbNPkv6D4sm212GPYLwv
t76Zn5mFc7lKx1sBeOgjr2K55xry2StMBkjBvW9Pd+Xi3RYkXXpI3yeCDId+JK3GGCL96gpzgqYK
M6Txi0ifKCfPntJuy7G/6Ylq9AgNTYr8PoW+F3OLkTy1z/WJvWhATGRdk1uSga5H/8kAOdnbVcwc
ut2jJn9JRf5ZM7o08nmfV91dmhYvrQLHVEwHp8njnWHJbdWYJ9+tt0T+nFWcHjo5feqB90qIN9AT
udVS7QY6x7ErglcSkl8peU+Uvi++6o+2RUSxHT9kur8l0PoRZ+PTVNDlxTjzDf2SgQPr03Y/gbkY
URORDAu0ttWj0tJgOk/MjkaCxFWR3jl+pa1JIj8OTROVRrXtC0YVGQp/gxxBs/FWkHcPrd3dLY1/
7xTJe576EMqb8RlTwXluHgMBA9F68bTiDETkzWZEkXqAtOj9iGPpozJGi9B5n45OERE54sfErWI1
1Xa0ykPspm+6VextAtxJymMTWW11F/pryY+qk+Wj6J2Lz0p46kyEoVn3ZNXGvZyYBXfzV+VU181g
fQQ+flgaxrbp8nNaSLvnl3rtWXKj3KNjOQQx9k7Dvind5MWQbeTCXFlbCyDeXrvE8fBAXQeArRIR
GoKYmXy1CsDLBwE7zgW17lpoxk0fpOdyJpJg9A4SyxQmiXzHDxiBxXRntgtqOSBFvbUmgvG8jETu
VM0Lv2lyo/rlm5glKzLt5Gb28x/zFYpQlECsBRV4kOVfZAPu9N76uQTtncMoHlTfsaux/Leap1ZI
nPbQ3vD2Iojhb5AvOuOJJQgKMXjtPLB7TqTCkazLg0MrjHcKWtZLff80iXHvjPGtJHNzpUhHI7H2
c85rwpVJ4Ub3xOCCM21VCwciB2sapHmnXlsNSX2LKhtensnkvinvHFu+p431WBHql0guMB2v4OEK
nUQH2ke022Xyq/uuKR61yoIiNr4DYN3OTX8mM36PS/nWz7qj1huvSxF8MVrQKf6AY7mSDFDnnpXe
XVWWt3Ygt7mTHs2xOLVATCct24ikLVcld6oy7Uj5zodScB8W0L45m58PpXUvJKOttbI5mktz1/vO
q6J6YaJww67LR3vHUEZ3IUN1SIgIMXXXBPjcyAKsGjPTF+YFYZ43n76wvmuRbmePY90T96wB3pKu
fC698g0BTzjWRXTNj41JQfWsOMKJtFYuFFdmYqsaXQpZER5xjkl6bn1jLwbGfZ2+zzP5gLH4AnY2
WrwauBzkGc8rI35k991Q83UjwptS87OZGBxCcRiDfkO0KNMO8u3g0+lJsW0TtkHwpW+qTrw6Ur3r
tVw7tfGYXq9/RwlWeAY4hRJ7mTGJl7mbNoqc475kvNyzoYBfh+u7iB98UM9hrNVP/Vw8E3YQ7DHV
79vRK9dDdjOL/IM4uYM1slmVQ3psBgtX2YyRbTDqL2z2kRr8NXK0UzL0Oza/x9GG1D4Q3hmAmPst
ObEbGHkE9n2BwS/3geE2MZYltruBuQ8G4qS7Dk4/qwOv4cwfjxPb4EqOl6DJH1Smc+Kkj1PZgtV0
3W1vaI+xQc0xMRXmDP8JTw6TkUbjEeBm9pL3BlGsNertSh+7S2eDjoD3gR6HS0BXAK1Q1Rwj7Q9Z
PREZcl+S1QcSdg4t0/NOvTC5YkXZhgPpoGGmD/uJ9VI+OkeHbqGUJjg/WgEL2EPLMk/z569FHtzg
noZ/M17hTYQemzRTZMMHst/Bny/xNIdwU3Z275AkCsAcZCvhfwAPMV4u7mfflUHUNkEegZINs8rb
uFa5ht6O7fizdTTefczqYky+NOfBtJJLn/TrKXvko7ym12erqzfbmc3KNIEsjvUPYhWfq8W40cth
V7r9kw/MsyGIStduOz/do81ipbCg8RmX1TB9ZB65YuXwXsLhoGtuVhmrk6Ch5iUT/aQ3xb7W5yfe
k7tiFbltpb4bYvBkzeesnOeWg3o1pKhG+mNR/bzO2toxeegsep8rvNvCapY1K3AEB4KlwiXQPtM+
vQGUvu2YXOSVVa8lE0Ktm1mxdu+pGN5zS5ORCf995Wrddx/ToDqsLpyiuZBs+1MC+xs4wFcGW66C
70dX048lvcqlmCGXNTiTwnmyUjpD4ukUXF8yYGVkdzVfkV+v1KgO8/Si6mwHNOLcIOQNEWWEDazB
ybdPIPVuhjiNHGaKGcHstr186yJYV5oiPbKonwyn3LeeisaYdK6iFKDt9Qe7AmpFqZ+GJpOReKBw
I9H2bg7026woANJ5DHV0QIaYP1aJtE5Ezb2ns3FUzcxYgQdZuvTMsDJ4UMByhhUPG99Zbhts+vo8
g3QnxoGWuF2nM8eLE7AtsQLEFpY13KEE0NCzpvug86zQITNwlds09FWifpJRcKkN6xHEilwNS++v
2HM/F5PJUW8WZ8/KDu7Sn4Uj1jBGSAZGjAWH8izb+Wssit2kSOhSxpcOjl9rJcfdcjMb07wayYtO
6/E1H0Fj2cur6+ySUQe+Xvgn6WVM0tPPNmVgqhnvY5YckdnsIX/t8uA68iabdQWONZTLeALMcGnT
boX6k4jEMj05xLA5i31wMip50e11MW7TgrDXIH2GoQ8Yit2noGmzievqNOObrNEosyIp0ceZBTWm
kRHISuCAL4ARCj9Zt5lGW0QBFk/dJSNodqXaZTN3SqxNC6xXBqGDlWTU8I6twl9rk7ubDMk0nCc0
+KQkytNu2VD1rirT/jCzGL12q8g66dgAJiRzStAkK8dWx6qwjrKs9kKCAVrs3TKL50ql8QqK8YHB
/C6RsCdRcpg61kMTDpBAfH9Qk83ENuXKiisMSidyGojBERTE82jlyD8UmbOIHXR7RyJNSF54d9AH
9+KNGoWBx4MTGCHQ/+V70GwO72XrITAGbnSO22FCgUFUgcny35nHdTwvUQEvYu2C6TMLBCwO5VpC
lptGYQGMPHlSmrjXab7K0r8xBo2MH9L6+grOQRdUr3iKt2NK6KKxVJFOpvu6aYcbu/Gm1RxXt50i
cFtxBkxsO4dp/nS67tUykSzMxVdF2pUl+zf/qsGfTee5Llyegy7/SNImtz0RuhvRM3Nc0uEeFOqd
fVXMMet0xVSCA015ikAxtlXDk90ZIjZ6X3LhUdGzRjG98TNJ66M+GD/ZfL/g7d/2QbHnJ8RUg82m
k/uIxYyNK2AeI4Eg5wHRgCMhSCSIatLEdPetoopv1bRJk+IDLQbbQleqdbY0lOnWnVpc7skFFYeX
VLuSrmFfeurnnJs/Rpi8pFMvzlmfv+aRqBKU/1BZeVyvvPjOcX4YQ7jor7q/Qb8ACuuj14j2YQ/g
s7RSIkzMtxhKQT+9GESA9to3srowY5shyOJhtK+3IRrztQPTGAzYFXMag35qpohs7xD2/Kw2XhGv
ffJuFGNML5o4QFpUCQsj63ubRzM7Zwoi1Ero5jKStyQHp2XdlGjEpk+gS0XxsTCrzxhpzNBie5oY
M9OjwH5cYA5NRNc07HB6Bgqb0Xymt0yyNx/eoL5co8CjKnsZcRcQunwn221Ngg32g32ek1LTTrdT
WzPVfWoWTtI34RPeYG0GPwKbGZpqVzElUNAb+StDGGQsjEY/PSlvO/nlZ0+TRJdvreuxD/V4v3DH
DsP74ql1npfrJbcAoaILDO7hFXJUdJdh5NFGMLLdzWwu86NTfCoSPxP5XeTGRyy/YgTeS7rrJRjg
5KDUsFKaAemSe/Y9Hm5jpMyEIK8r3BpB0H8WdrfSheasaC/Wy3zyNWsPafaep8Wb0ICQEVUMeQIt
rQ1ywIFcOSORHAGe+JOr0Lex6zJvGSzgcHDvbXMmZtLdKYv6xeyCwzVTVVtoWMyM9ii78BtbTzno
cJhZoV2hoej00GvIaAZ9bFXcAJT2qh1ZgF45TAtiCD8iF/wBNNGmnh5b0pKLxYyqpQiBZZEEoefn
BFGuMtJtrzUMecrVSBJkrE8cjdZBULQxo9n3HpzLZHp0eMAphH1INiIispEmVXsCsOFug6WuuD1S
i4cw2x96xv2VVVjF5rNfLBwpbnvbuj4Pg34iZbY032CpfzaZRbumslA3bOJteVsmXX45Vyhea2zk
V6Z3PAwIJiempdLywMOmK/LGN//RNBlgPKRNOyepPoqs37q1/fwf1IDQWpkw7fApPTp+cRiM7B98
G39WlJPnB7MbNzF+K+9X64ge6FU7ZamCKHf01I70jL9XrLu/SsmxpvzednD9++8MG9lo9rkb4Amo
3zx7PXzmc5T8g8/qzx8B2ggWR3gCVy6F/4sBykobtJm5t+z48ggZp1j47SP8vzG6/3/oTyechFL2
moX4P5vSw/Sj+Pi9E/1f/9H/DaE0HdCVeKh0G+TWlW/53/bz4D9NWG14m65eCBsD/L/s5/Z/euQK
8SUQhwBLwuE/Ev9tPzeJriQnQdev9oXAM73/jf38T/4c6J0eUTu2jVGTBL1fzCzZVDYmguN+5+vN
p1nQM/lsd1q/+DCyZhvk9T84W/5kO+L1fMJ9uCIg/HEF/fEuJvpazEOS9burN3U1yjp4y4RwtzDr
539g4f3pbuYTuZDw8A3io8Ex/MeX6nTpT9nidLulYimcswCcbZSnv/uyz//HyvF7+/6ffpXXF3Ed
A5IEMN8/Xb+WRAKv7JnfmybVUW++uzw6YcSBikfw//ev9ZcfyMOcStAg9qZfLTs9brzEnppuV41J
f8ewxEYPoef7f+dV4MNxR+g+xJQ/XjYyvq1GQ+AHrCpF2n89l1MEg3//In++DWAUXv181zQKwK6/
vEjpVQYoU4IlDSrw20V03wCPijMuluIf7oK/fiXXtZAyA2YB1vCHY5NppGp8OXUkBbcnySbAm5t0
Jezu5e8/0V99OZ7xr9f55XhWg+sosPEoxtPlBoXbNR+43/79axh/+SLggq4cB77/X+1EbCvGubpG
KWuzuyqsl3ImlnA7NDcG2s2WELFyW6T9A/8zgf3mr2OQRH//Hv7iLQBFNi2bREXICL+at5q4b2Da
9N0O/k2NZ1TbBYIy5995EW4LlHWgFH8j+P3uWWd6FZ5CGNM7IO3qmC/QwCDZund//yp/cWvwgyUX
mE0enAfH+uOtMfdKY+nBV2aT7tTHEg7+cGAU8g/3+l9esd+9zPXvv/swM8JbT2KD2GUJk9y427Ni
y/6dC/a71/jlLgek6Zl1z0eBTB/O9YiSBHDiP3yQvzjr/nC9frnF8c03cMF5kdFoBTlWWNqSrA0O
Q4wHzBDKCP/++/kFB8aQxrdNF0EloS88m5xfDonZD0oF+J0PVRxERRSRdcOYsqtorOq7Yt78/av9
1aeDEwWJ8vpa1q8HBVtHJCei63ZDh5o27fNsP/sFq+Gu+x79Xv+Hl/urmw/n//WR60Om+vV3pGsB
I42YzFo0JbhpCiL7JrtM3r0gw//y9x8NBBX32B99iNhILZ64HLo6bupfLmVn2lJLGD3tmjxDpzk0
trFPULFL5kV5JbdWI3NCRgfdkyuj9oz7UTrfqbWML73HtAMNRcM0WqWwS/ySDUVVqeoSj40v2Jsw
KlxpSAJJzuyt53bU3P0yDyj34tjfeqJGydPJRYZzExBW1xSeR0zQ2F7ykfKe0MLxxoBKscrS4S2e
G+Rnfo6lI56z8aLc7FuOuhNNsUuAvCoPxNkiEw8qBDdUqp+ppD1nUO0+mK6RbGY3ZuJXttNzksMp
TsiJQiCygyDOgmFrtOkbkVitgFCiWDPaU0eVKwZe2yuvpqrEfzJjN1iXLrGoK8ftMFgldE4mWpjn
JGWyaviq/mhs9EqDVrSPnYyzm84WXxpduuo2sxlsK0y7odk4D7XT+SgO6KOXITsn1UPGpqQO7NMS
u8W4mszFdUPemnA2JFW17l50wnub0+HbbMZMrfvB4B+tGvIF4WcF4LbLNTka9S7JgjdbefGWMFWG
AINvdbQcvgByXnySglEgfZ1kBSk/blkJdVf84conHsFZ2WxidypH2m9NGnoTrb7Q2a+TjgHZ0Aeh
nTGWdKFwzuu08iqknbarDrZRyhedGf1av/7Mi1wHw92xgys8tmMo6RhNS3Jd/YEclPJqpUjjxHtn
MA8ajISuUhPlD/KvGsIV4gbRd2NCPGiG1mRggyKeUQcTOmL9vG0XF8unsAetxJAKrx3RjC9InTKS
8d0XBhp0Mkoaf43Mqu9PfRKkm7xqR0YwUkWDqaZnXzX13qrFgLFtSehZMfq2961tNO+J8hg0xEvm
o3l35vzBFWND9im2oka/7in9ajbfi5j8nMMsR+09q3KHhbUDPnoYp8ZaZ6l077M6jcOldQW5Q05K
jIPGJlcGjv5lDYu1c5nRoKsy3icpo3oYWApbtntbj62sViZj2dAuhHHoVC/XvEGEDsWg3tJ86kJZ
KwR1KLbYFtrJxObIT0u19wLCQlfAYdohHJZA5tgC/RkxsEYE3T8cFp5u/vGwQBpA+3dNg/dQyUOy
++VhUlsoPMHmc5+xU2NTx7KBG5AMLd6cux+WpTJWKaZTkbjsFp3gMPe++TPP3eqqI05uINaRWuIM
yValOq4a8q43llaKG6fPcQIFKM/dIkCsbddHDBIJen/f2tVN8jB66W3r2/nKJPVxTMc78qVWnX3f
zcSk0rpnKwI+w9lf7trrDEKVF3v6UGN3mrS2WDtL9WMqCdzBOlPtmyGFolG6qic0oJ+G26JvkdI7
xCejc8uiQaIV1Cs84JGrpw8pyV9RPkP2dIYAfN3IUBQcu6jWWTVrMRqLttoShGTeiHZmV6UMm+mt
Jm5AvBSbou9tJmb9Z+0JTE3MApp1DASKWbnINvg1xCmfQewSEYsbFDfKZz+V1duQVjbIVzeG9KjE
ZsiLjqkHitJtZzrBgwQNlRvjPsiML6UDiN/MtfWCm9J+HLVZ284zTt/FzM9lolfIWIL6yB3ivw0L
ci1M9PnRqMzmY0Tygg+Apf77MunyR1tDfYz10jgNi5yQHLML/UxGhiV+byTnnFkzU816YpddYZNZ
Wb2XoP8uNd0jzDnJPzOO+BM4xyG0fMS/SBAN1hn9+DiLQh6B97TjWs/9a6iPl9zGfZGP6xxRNnkx
wfxRos37aMZiOqvMw3anEMGwOi7kGXtijbptdBWeNDJXV4hsiT3H2KlHent1uPHOrcfagzO56lz/
UUjHW1uaHmxny1iOpH9mlyrr8XkIBbcEE9/kPDh1jJ0R3uVdU6M9LLthisqcYetMjAW0fL3po8x3
hyjz+A/BexjXECHySJzGKE6lNWfnDKQ6k2epHUaLdSaT+xbPbWxga17MxeAGqgEb4flI10p+Tl2O
wrzztsBls3UuKvuC2il41MaBPYAL3w1cY3LCeFXfdn2W7jSxLDc4Zoew1/z0dUzijAuSvOsxNRwB
CT/Sys8vrsiw7+lCXweu4CeZKfKA4x7R91hPz1U+JqtmGI9tlrtRgR5uj6gNZ4CGYKxvyuLNmvLi
SBuLQHuyyBlQC2sTyuJvsnaXW3vsxoel7NxhzTw0IXazpIhEwEEkrnGRY8wOnUS5FPA+K/7a21UB
JvK4HNOt0fjpczFjL2N9UUVId9M9Mk8ZNYQoRTEwpdDqmZ/q0+CdyE2+Gj0CnDJcZ2OR97aVbgxc
8OjGpx7Xl1qkvMLGXdZ+ufviyyZ9Fy1HvktG28QqGrGyLC7Sbslf1fCNV5mLYnrG9zoFS7qW84xS
IF+gnxEaB/uO6WXXvKRpbNzlnHd3xBm6d6mBv1WKMbhNiD0GaRBk92S4NSuNbXt0TRK5wcyEboRQ
HpQkts4CqKo0cMABrnVsalApetGzEii64igY3FIwBIPHOltD6W2biLBkkWzd1ugg2Npt2OjL5zQj
fIPXQDhFXRbJnrCQ+IxTJr4IhuxMSNFyZEhUnIulZlapxEbNFy9OmGG7RYpA3FGO82EV7uyuu9JA
0dTW4K57veu+RCHUUasZr/PXmmvDJEdbmUHT/ejtoDqQ4qQx3E208jF2+wwp+DSEpnVbeCQ2Bbpy
KRdq76w3OMNWiWDOicHTxwBZpjY5mQjYtsbkLSoyfAIlAh5839xbQ5TXjbkagyUJVdIRrKmX+XeC
93nr9Cbj2oZx69oRevqjc0lao7BMb7SrnsVedPbuBg4A1qMpU3BS597r0vquiCc/ZppLHlUQlA/d
kJKwHYx1dcittCR9wrWGDavDLnRUbiGfaAoIzNDDy51wDEJUFiK4F8yjz7UUPkP0cjnms6sdyTOc
wkqVYO691N0VvRRRqXvNtia5Yc3ap8YG0ePw1Xu56ox+uAfjqi6aZrPLUB5qdOGXBCpNon+QlWZH
Fuu3R6MmIa3RUrXuUmFelQgqSmzqsknl7nZI1RS6ZIRjPJEtZHUFrGPBxlkV1NGjARbHnysSjw3i
lbqpSs+LEmQPLcO6jofPRA1Uz6muoUFKsQLdYcC973gATm6SQko30UqnpMU8iBREgzah0PE/rfpz
1vDbeNl+shjSm4UemSh+uoo6TRefrqHjdGhZjxT6offV2UrgMRhYiOQ6KPoNXT9ryaKhgGYLtpSW
pASKQ2Whosght8aa3MGJ34P6g5FULyAi4kuJdaZlEblwpjOb4PBo5F3sNneLknItU89aa+38bNB0
RL5e5LuE8EHOdu0COhB/3ng/wElsqREHV22gVPeryZj7zeBZzso0WBQatLU5C+Gw4ccSxuNPrLoh
DsqEJmZMEI6ZCt9F9+hPHeGvDmvWufbe/Jgq04Uiv9KDFIJG/jClLGxHhHEhZ9P1OdmelyS1UFA2
K2lk1SWt5E3XNK/tbK7mnE0rU6yfxnQyjOFbekjiDCN4ypEYmRo5hNVC5zOrL/Cjz7NtcE7HS+Q7
JETVGZRsXmV0qYp7tw2pVB+WWDs4iFGQrEEQrySZqXEBa4W3oqXZzKXDmYsdarp1BFnjtWTjbC7q
vLBkdaFsTHHxIpPlvh+1bwon8tjj3MIeyFBLyz7o1CgdsQljOul+yMU1wmt+MYPWqLH6+JW7GATk
gHkiiTn2zLZe1gWb0atE6ZiBHZlRt1G6YQZM93XQrdAE7FgDh15dhFoRIyGvzm6BLIYwN+ZAuOZz
4y4RXsLAayzcME0bjFhu0oq1kfkAOJib1kQOuyYwBHaCzTanBtJWOF2JKHf1wb7QIo5GyKJxYaXj
dA9zY58sn0pC70KoeDfjYqLAZLceajO2pdZDu5GgJIlso5ivdbfY2VlWn3x/nL5QmaEXxVM1q2CX
Es21UsPkYFwq5js79sZzoKluy9GTbqTb4DnLr96AUSc4XL+ay3zr4DNck5ITCh1IwNfUUge5WyQ2
3F5+/dBqwilXqZ81O7dW+SVAchT1jd0d6xqXx6zr4xOOwODeAhO19ghee9G0WIRTVbu0c2a6c3Kv
eMkLpOil8G4TXdtPzfwz0yoDcYOJvBZFdvZcNizRK6GNx0rLUnLxRB0JOOCE7lAwqJXWWhS45uCy
F/RH6dIP212YjP5XwZp73TuYXHNT56g0BZ4DbSxP/0XdmTXJbWRX+K845h2KTGwJRNh+qL2q953s
F0ST3cS+7/j1/kBRErvYYkszdtimJmZCQ7LQyAJyufec7/i1V38IEScu07DGk08J+VJlulz3JZIN
rdCd2wR97wY71ZJZ6U7UEIOcZm4lhhdOknJqqkiyI/svWkwZbPJGQ4rtdYOkGdijTRFG9cSuNCAg
h8P4fMp03U06qWc3uszNbE1+yGcA8B0yp/hUqWK8qHLVLBHrfjLsjouZunfGbvZOuOPdpPUV1gKc
KyI1+gtqggS1hoFzq+XmzgZ8F7RafZOGIGeMzIlvWjOvdxQKxFOmSmtlkXq4c3Nh77XCSg4Q7ZBi
9h4u9UofV0jA6d8P00dsj/1Sz0aH3e+YXtmFj3hlhP7CcovHcijVDZK/5syL2S5udYf8VGFHJ3EG
B3UxDEF0rRBMgypqiCwwZXgVFhNO8L4b1lmbd+9QaY+qVI6A2SV02lJz5wfmyFH/RKBqCPM0qHas
GSviV7c9envcy+CgBKyed+pG86d9Vzb64WrzSfG70mUaZhYSN65WyOzCDB6D5iFHgE+hQw8eSbfp
MMZlhvyY5++U/n5I0jm+z6ParO8nWAvnvlRQ2+OXyMMFSVSKeOxzy+9XyoZAVYOV0xacdOoAZyXW
tNVo+yZzM6a/utTWMX5gNqC+Q15okm5onWYsN1g3fj5Ib38jEKIpeLu0ZY5KaxXHLsdP/WqHB3Bm
P3gGEz7g94TUDgtzyDuXm+Fox1+JlJJGok5IA/2Z119JX2oIpJhsdkMy7fgiZDBtxmzjvpjtJV4K
lNLvVSrfukFaNTMP0TAdWtuvr1i2qTIKpZe7SrcveMVSSCv6Ds6GQm3grH8+mj/kIsxf/PdXm4vC
3z1yRRtbRe8btJ9UvEoQPTEtzg+cdK0TBnpJ3Rc16e1QvlOP/Vpw/WFgDXp4JncKZvRoYIkFLK1G
UGXMmkmiuVSdsxQ+mpQwAo6J3yHD4GD3i84yoDFHfjPDri2oy7aPOGGK3NOphS6/Dr20wxB6Iwnt
KP1l3YvqikxT5uiSBLC8u5AygUZVXOcpS453WhEv9mDXOgrbtjJ3FeJLVHxVFax1ano7U8IB7XWL
slwQ1O7aicYFxj9zK0QYrjWNPr2Whxx4hTLuKlE4pAQm8XQqQn8sFoHUsk3XlcU61K3PVtwU510n
6+sq9N4Zv2Ou7te5gheArRBNVyWOH0yCpQvgDlG1o+1kcIvRsFG5OmPKqDrtmu8rbtpN6u7SgHNf
9m6X5aiePl+ef2xQk1RGCF48KloVwnez1I1acmpDc9EaPn4FJPxr0Uv1ziv41q3aNEeFI5AHEHJ2
9EYUuge+ApH6jgKAzr6riKYzt47LdVD1H1LRZ1CDINZEA/JB5YgBt3PRr+wMjF1kB/U7S8IbM8Kr
n+bojcFN7fpDYqKis+7xyC/8dlom44PrhUurSrDqyv2IYubn7+mbw80SRGAX3UBgpUevKcxa5lYu
6qmQjSOIqrXllfqqlLy6P7/UW/enw8PWAVWawAiPlrxRN5xq7kjvjFGUz1NALTsth3EbBZag4iEh
nTvmUui+taUvrr9z9aPu3dfniiah/rXlaovj56oHeExcsN/sKGhhOJvUWiBCfmc056/oaO6xDRto
OjAwOrvHo6l5OqriUpU7LzAe3BiNk5U4iF8lW6oi2HZ2sJe0TN5BwMo3lnfeVRjwghcHDcrRIjtQ
mqfN5ZTwxqHmpai15r51Vborgcd40XZEBnOQI2l3GY7cvdTQqP38y52fkx/unKabPf8Elu0c/QhS
YMnzDZfljHDkauooB/pCXYLjYq1O8Ki3bLh+fsm3bxvtjDKtWax1LAyhbVVhQ/Po+7agbPypq088
RCsQKTnhpzaoD6TmI8b3KoBxpwX7CpnHwghhLLzzk8z7px/u3iUITVgQWJlMXr9FpRtHRRSyv/IC
D6pcbXzBkceWLqSvoKHtnWGcDadf4EMLdN/6YhI0dTg8r3/+g7z1/CG4sSn9o2f5gTfLbKzrdsrc
3cWIJUPKYUlwEpvmQ14Jc1W0kKi65vbn13xjW4Fw5vdrukf5Q2noeMIT7PAUvCpOJ4QsDYvQEOeT
tv/5ld68O5tNE11WesrHOzSNDeEUmFzJCsT95DWnriq2kk3EiGQiKyFVWck7dN23HmsQt1iFTYQn
vGGvv9iuJ8vMNpA5lYDOYB/YYiedMP0gSBYl+D63do7Vex9/fp8/BBvOa6BiI0SsHqIyoqxeX7UI
UDMHER4bCFoBwJe6+mA7efs5mHlATpIrGn318JD5pb42uhKGSxjGq0Cy3WkzIIGV3n0G5JmfkAnk
fWoaZZ+KNvPfgWy/NaMqdq+A3HUEJMcSMNAVwlNFV+2iLheI47uP0Mre2Y28tTyxOHG6JIpJ/IAY
Njxl0BtIqh1O4DXoFjBZ5WQuJkMW78wmX09cx+8wgZ8o/Ng1Yqybl6/vNqypPVWD0dTVrhfiSxbM
5fnZsDCapraFD4JSmRjwlREUuHWCHHeTRg5T5Vw1WhPtJkuRMkDZvUDO2z+CzkOoHeboW314NQkk
9g++I9SzR4DyO+qXN94/HN+GzY/ugkFWRw+L6beuO1YTKCM45m2WfYLnhga7xGc7vbPQvHep+Yn4
bohGqriFEILDXFQiUOouxgiwiPTBGM5z3s/fgjceL+5LCeUiMbSEebRdGFLM4iBjedvtnKbNGCaP
Ikmsy59f5c1bIgLPkpZOF+t4xcb90EQwCqudmDo8dBjyFfKFLKW7TNTkO4vkG0/zvDr/frF5gvtu
/PIurPLU5GKhyM8hf2XXboaEQZr14ed39cZM+epCR88yFfi+LgyeCSyD63mWzDJrbcu6WkXBhGcw
I7kSbto7T+L8qUdvEAIf9tPG/N8cwV7fXqu7oYVcstq11fjg5bZaKNFuW1zO7J6xqif6dDvPW64T
indG9q2HxbSIkWETqxv0vF9fOqxLww1au94B2MkuMttvb9GS/BObZfYaf1zl6Pm3e1CADne4i3Al
ge0ihLUK5WXuvwd1f+t2KDPPRxI693BrX98OpL4GpxxVMCfGs42U9KFLjb8/fUO9tznfs9wgfj26
Bu0kBxBJxcucFrsyoAknBgwPf/9BpPgoJUJnBNXi6CIJcqHRtnkkkjKxlzweuAiMbJOJ+6aCj5dz
0CKOkjzKf+KyJIShiTZn/fXRk5iYhdnjYq12NceNQpc3fhRuMT8vm6zEM91t0/C9eKG3vrL5y8KP
xVnqh3Au3FlC1M5MlFM0pzP4q20A5vXn9/XeRY4ewHgw6GrrLLkpErNNVI6fg7GV71zkq17y+D3+
qtSjLukS+nP0MhEh6yi64RXG4cRfVZw42EjI5tyvpXpI2ta5qUwkkBImuTETg7WbNujd+xZTKYWC
PHG8G0x/OHraKhXwvATOY5ETHnRGuwdR2rPJj38Ag5EDbANF0JwlnjAXZtfPdTeKMorCB55t07PP
prHRTgMR+3dNfpNENGdjA1NnEzogXM3nFhXZxtDHYllBL9/EmfzoS2Dufo1FCo55s6IbD6+2s4Bv
hulZYnTt2lKNd9madb3Ji7zdeE5fHzw3gl7EXo5G+c+/s7dKoMSSC0IgqDVwODgaziQ1exEXWrNz
ZEnrw2+DB27Sf3I9ZZ7Xzdxh0QEH6SsE9fkq92AUs0eJYPqW8IiBvAF7gYQe6blEDjar7UNfnQ2+
a9FHNN/99n+cxPlpTcGhFH0hi+LrqQeGhT0EKmh3iUAMMiHg81Oma8QZv47Lf4+J5P9tFOJcvGJG
nRXff+41uRmT4KV5ZTb54699c5vov+B20HXTIoWNo4fJB/7qNnHFLy5HAg6bCpsok5z+h9vE+kUX
OvEUnPKoscwHpN/MJuYvs5uJtZlug04Sifl3zCa/imhfTxHUjxXVValYp9BwvH5KIFBMaTTilxum
sTwNhzS66wIxnoQWclvUBdFWBWG8CVApQIgbvYfUk2pnow65g17TPtg9kskWcc7Cp5pGgjT3s44a
nB7Llob4Kk4jZxl48GTKAdIsLAhcynEzrFgzoclEc/xYr/Ids2G5QNZF6uL0eYqmlN4NpdMLczYH
AGkJr+LRnRZTRd+uBOJ/gUfl0PetscwHM0bZodyVRQjMlTVM7rk2Yi6xhxbJUDboK2/q6f5qYQRA
kSO3f9ClVp7WedGtYex4HyFPgrtzkh73dhb26ziKkQmFXXovkIxth8C9G0SMOJO/vMvclA9g+3Pj
2/U9Qk74UpHpbBNvovMEFPekEZGH7qgpzrosbrZBFt0iXILfNpDFZUayQ59oVhdZKItNYfr9Hn53
spb0Ay90S9NWlg0X0hc6XfBYD9tFqklzH5V5eVZlWXAaAyzfgEZTe+UbBW0XlKXU+lRyY/Ukpm5U
SUbDoEfWacsBKCfz9dYqXI+5Vra4fKnnLfFjo2qhSukTXO30G6GX9p5uWrcN0/CDS79+4yNqBLRZ
PdkgGm5Qz9SrkHlv0WQ+ORwOEEbfx/grHVvixp1avnkrp2AEr1ahQ1UiOYicAg2lmmTPKt3A2IDN
3ZoQSZ20OA9DRqaCdjViS95S6AmpQQ8R2BpDf2Ki8tZ9oFXnRawZT84ku0vc53SVGmrVQ2z3F1Ag
5BL5Ix859Q993pUHUnUvK6f3NnFYRo/KEu0Hu0+Hszzr0EdW4R4O5EkJWHotfTo0NNLjjWtgrlXj
YyX5v6Ns7hs2Tr6yOYxvlKa3a4Bszaltlg4Q2E7byNQ2oaCBmZyqDv7BQJHj0Wt5vm1dzkjrpKDM
be1KYtP3fjOzaFx0Bnpg148UhduAgAZwfevGmDnk9dhfxRFSkmBO47WtFCCHD/FP+9gAbHsqm/HF
6/OLpvKK66b3jOWYjMVHy4b9Y1QkwwTgJ5EMWNU2a6HPG27U7WOXEIlEt3D0KlLK0qas+KnnJHuX
9xF1ebIuvcw7RLE3AE7KyUhoa7kywMGf0k8pLwMdyvMC2GKxlDTjrzHRR2sb5viKjA54ih4CrI9B
18cXRQjMlKXF5rPxo3vj2D4j3AtnWOJ4P1VGjey2j7pfKW8aBfqTwqzC2yzNSEyxLS2EW0qDB3Gz
s+LBSNBkQsrV2QLsScYcmFTgahHbwp+mUAOw2ZfTKhgtVGtRPpQLqj31EjN/s0mlys+8spPxyomH
DPl3DuAihKRIeoayCDJugi9WqnsYjTNjPRgT0MVypEXpgHouhQ+Qoy19Z5PUQ33SIlCO8FKAUZ9Q
I+6LYIJhA9c5VJA4ar2tDjZZbQtD6hOwtxJIhmYbBx+j7arq7fRaGv6Hzq1uqjiGVD3256Iw46sB
JcnWBg2z9JrO3xB0n9KEwC7uupm/1EKgc3b4UUkT7VXf6J/cQsXTIm6Nq8hVELoizhD+AOoDAM69
ZzXaUmbOte13JMmmmbaMO/80MKIzcN0XZVbcmdOwl1lPjEADMgAIv2JSjYd7iC/FasL4i3wzLzcN
OtKDUZXm1iAuexFWjn9wbbQXpmt8top2TDepVki62xHAenaVJAKQQWcnXXvuBCXWQReeJLJ+rP61
lg7LtjS0daZnxSLx0RzlpZac2KrjUEIvON9XgRxuyLTvt2ONjqprq+q8C8d1D9ikFkPDpK0/JG4S
PTiw3bfIJvwL35r0ay0r7f+5rOf/T0HO3zyvHJf+fPNy/RTVwVMQvtq+sKfAYMvf+yOqGXEZTGrO
QrPr9ffdyxzVTJWcOhW9bwyDc9WQ0M1vecxQd8hbV/M/WD7ZKP+2fTF+oTo2mzM5XyEKFs7f2b5Y
X7sR321faHQRBW0q6tb4V6ktsYX6vhAT6V1uFcKGboSgmvWDIKsIkEPVfLC1mRyHvm5ygKSTa3bK
ji9c6EH6xUd7y2at3oxmQ9hVLlHnsjyrMGQiSwseS2MK9hQIl2btnbYa54k0awG0CTbvbArKYPzM
TH4YUxQmXkUCSZEzTXXJ+AXq2S4mtYck0SUlZygMBP6YnZ2sPHXXubdktn8INIX2CMeUPXwcVPMF
lNktuSyqb9aVph2qUj9v8I/Itr0s6QYd0OBCO/ajdN3Vtbl0I2NkZmuEv89iM0VYVzcGMVs6aJOV
nJrkiibSaBJbrRP51Ct0qJ42bfQyCTdtmqgD567WWmEW4V1qwiq78sa+uwWVNj0LT8pnDnzBjVl2
doxdJy7uIdu2K2T66XrS6/gaPJsOziIWl/hlSGwP0JZtJrNNt7hIhvMoUvDtbN2/hJ0frNqpC9cC
YfOWr0quqkq/ooJ06sbJaWzUhL2d22aKRhtYTSIadk1WSnvFDR0EdHm7qGLo/hMNbFEN91gbqKHo
5B3V7lUuxo1n2XuvqwjLuktN55PXioUVBZe+9hyOt2bk7Z3QXgKqg4LBg3QRhtCommI7hdNVVPUX
gnyg3h4eJIQaArhOTflQhdktuH6/ctcsUSsqjdet/1Lmwdpz7z0N+b9D7c1XzKYZtrf2XoT2SdAA
RjefldmtO9ZHsDEYM5D4tcamRVIaooiJJnOr+spb+cFN5gOqndkL+joWwYes1/aN6xULNaaXrQ3n
o5ruKhzZyx7idd0WK5qo9yln3QM9gS1KzaWUFzIcT+JJsqdsvpi1cQXch81v3ZN+baG0GuVT1Oi4
qIZNocltCnS50vw1FRZ0pe09+O+zxHG05RQj1fclzhVDWvnesYAYTDGaiGAggQ/f0mLwh7O4hoEz
ESDVRDLc+WN8bgzO+eDUYMnS8nPitsaqNnodbmS91xr1Wc4vVxKuXOuFKtyz1L/EmuiAYNa7IFTb
hB+FpfrATgWKH1lxfYCDRqT9B6eRbLAriMzGjVtoZ6Mh8eMl+NvY4C+72l6HqbdBG0pMRtI9ehEB
OBXgER/IKhhJdeFrrrcqI5WDmnLSbec6PB7aRPYaDuMQuliGRM+qG+8FzLi+oBpvw850ok+4FzrY
IEa01RoePFpCaulHtbFAlA3Ty06ZX4JgPIzORCaxZwZb4sj5KVrLuC76pNsKBL1rze84+ZeVhPY3
Nl8yE5rpKMf8BLZ1eCGT2OKNqAuMLIGzC8Yi/5KgVOfkA0sRo1jrnehhwZZM59yzjsxUrv3ebWDz
i/DMLkW8Bq0Jzn6CYt2SQXtmFIm7R2gNxmdm8bDbzc+DQlY3veHBBpma4Rx+H7pxtMMrkfr9uki1
apPXNeCPWEfFXuBDXFUBYcLAvqY7wqsoyJC7dcnwNCsbPfnHRITBFr8swJCcOOyzDu7kOmHHsQSA
CCPXqLp1xp4NCB6ySNeJk7VLHstF3afTKkm8cGXEQXnWivoF7wTpFq0tNpanNRvJT0iIBigul/vt
6r7fZ06vn9MyI68cn1IOYcVBIeajY3kUhI2to7ZAY9Yqd20b2p4o6I8GOc3gwHsiFnAJMhAUKCGt
uLeepllPpJW0Z7ZI7avKJwNmSvHHTQTnLEsLomdqjt0eHQikyYjgKTOUxgXq/1PdADhqZOa4Vp6W
3hq+5+3dyJzOlBUxg9Wivcp1EcRLZjta0UUYOstcGummyQvri++iLkrNhlJ95NYro5pxlBgBFrVx
bjUDloT5LOOYRPm0Y0OEgFlSYxN5eS09awS41apTTYdC1cTxHbDPaS0kqNigS8PFIMrTJlZbFjK5
1lofKimsxbACN5eQZN+X0l8m+PO89tCU0jlJnWnVBg1QXU0teyBQei6WJldlzDP30U3Jx8p94wUH
uQERz02XMm5Iohu6ZG0WImfhgitnpHlxE/mA5lHvgPEzPGtXTEip26ZGdY8mkHWhMa5LRa3e7Cxx
FnuWgXezvKLOsawq6NOJ79I6MFSzDZMRcbfWlEA6/bt8ApMueF5AISMXbXE6hv24sFB97YLWxWLh
ECwSoz/VpP6gJSO3arQNUuU42JYDAErXal+amHnEGiD1sDLsmACixYAzkmPRReQiVrcDhUEtJMSg
6AHb1WWXnBW1Zh5aXJw7Y9A/Nu455OJijbkJGJxRPMLvS8+KTl33pEKaRGsR9AYbV8eJWiqlbZrA
kQ/TkDTdMvbM6XNit1a/SMIABj0m3jLcxHqAYpygPCivJqr1HngPHG9yE1XkKQuVb5TFm9LzoAxZ
ntuESxT81mkwTeNJRj3R3w+5kx3ozDMgqsn4f72Y/IKGs+aBtElzQY+T+gN62lUF5H8Rg2JErm+y
lejK5NwtIf+WvMnrutTLz9LzKQNYhDzFy4RwPhNJbVivWkSyuOxy0aFPy6fuxi37Ak9q4W6w18UX
rZslhIjpxUY1rUEdowcnr6PcPVA9zlYohKabIHQytabQpHFkwj1sQcafgsc4d6pLp+zwqISN4nTu
K9IW5oSbAnldMSSX0i7a84j5/tkp8IEE2ZygVKbOuY4W+LM7ABnow744bbLA2tVuR+sViFiDQEGy
LGBrRiadsspZHqy44GlmBdfyYsxZZI1+WejqwsHtWFaCKhWpBXmhX7CXtS7C0j/RYjUsY8s8D/oe
GiA69oUtOXXalEQGE2T/yL8Mqmx2YRubkEDDy4lSByD+NLmKojJZtzxjj05iXwV2dW5PBKI0aaAt
QbjgR+5A0cESVGjdu2D13Vb98tct7veYk7nx8Xrj69AmtpmWSXhHX3BU3fU54FfEQ0J98OJriJO3
k58eMvc92S/b+x8ugw7IlqZUQGKOpaYwie2+GpCa5vr0HFbGoTPs+79/J1Q0UQhjcf0ReJOpVE80
eyx3tSe2kcR1VpbTJQX4v9n046yA2/67Cx2VOvs8n7TMg2GRNuFHwMLnM1kix/j2r93PkRCv0SJ2
WQWXgfAtKJepfYW90kzwyvz8Qm99N1+RLYim+GaOJS2+jkmK3i8aNboKJ6PfyNOuHpx/orp/m6f8
599fAaH+89//Wmn/1Z/avuTnT+lLffxRrz65/s+vv+2/5Kun5unVv2CECZvxqn2pxuuXuk2arz/F
tz/5V3/z316+fgpiopf/+MfTM5r5FUiBKvzcvHES5iH58xP0SdAm2dPbf+v38zNAKcruAvM2L+v8
nn5jTTm/WIhyqeNT+Oft/u3sbP4iaRegGXJcut80DP44O8tfeNNN8BtoIKlsIXH47fa/TRiMHMPN
cLwxgRwJoriETWNIV4Y5Nx9wlb4+OWtaVapEWhmqBV+/5jBAEdGMLQyKJLexv/Anh7pXg41y/d0Q
/cULI3NBK8/NsPs/ej/sjMOd1rfZTsjZU1cmk+Eusc8G7XnfWtMe/IJ9FrZN/44CbH69X8+YNsNN
cQNPAP2wY1GD5k6oaxwrB1EOtb2LY+9Aepm1oy1hnZA2rX36+X3Sez+6okJCw9X4H3I5OGAe3WnW
Ux5ly6ptO6nZL/TvDY8e6tCdCZ2N8qJGrHw2VJlF9G9ceUtj9FIKfzhBt7rXWU+N4fWfk4SmwUKO
RNRmmEhvCsM3D6RMjWzSY3dYZD6uyIWEFHGqlXYbr0gaLDZG2CPSrzUnBwfSauaTmwQhGiZLeI/g
C2BmNmnrrJwoL176tOXwAskSmm3j4RqzO+ElRHdF4XlGesNuIk0L/Nw0EU+tT4l76srQ99apMxbY
emOGMNWClGgHdj7lypxA6yxq0yadUaTutg451tllWz+jAxyu40G49xGorB0ptQxCL0xwHE040q6t
DaPbZpyW9u5QUOYewqJeGLjiCGEHU06SquGoK/Be7WWS51m2RpLVHnQkmF+USMd1Otj1M9hz60kl
Ee6TzpfdmfTyaodYp9tqKeJSN/VUs3Zcwmok0Qg9ZzyXCONgJEM2FFbVHYqqKDgYjKVjzEZQxrGI
wbKMPeXyLKI2so4dchJqbXI2GMTQ59KF0q4aAoluZ9fBsIjoH7G11Tzzaahpuq/LqHa3SiMebVCk
9bpWCtvamIdSDwbGFjtoch+n+AbZBXZkyJQSyV8+zCFkTfRo+X4E8rmQxcfSxpUK67dnNByPMq/j
FH63k0WbnCSey6OCXZm7MnrsqBytp3wvjTa94lgA6pJidLhxTEkYlDUUH2MekIvaU8G4Ql3CN1gK
29hHJP8lGLFjYVzrbQFJxaBZFpKQR/ZuGcpzT+CnRZxqxZc9MtpDRsKatYG4jh3ZpTYOOpWYXh8K
NQ9uTQdzFSSOeS7LtI+WRdvwkArf6PqlbKA+b3OP3t+CFl1zR1FGfwAUUNVbLzGoDTReKvBe9qo2
Vn4p3Ypo6yiaKxaBeZiKkijVZCrEp871kiV0HFEcutFmRClHcf+1MkZ4QYHT4hxJ8YasXL/iq8Gh
65FYUbj5Rds16YfYGp3r2KzcrQf+HXOAH6w1ydFo6YikvZJpoIdEU5OOGDdmli6LVKZf4MF329Z0
GD05NFS1HZpzGIuRMRfYqbdFGM/A1qApPupBW2yckC81jJvwPEVYQbSG3zR3g1bwxiF5Ta8AmfC4
V8S50nuUYfBEVaUigNQNzhXC8BPd64sNJ5Fqp7Ves5Sq0jAMFnr0qJVdcyfHTp4jmYAKGlQkjFtB
MHzujCHfK9vP1hMh0J9AoqXBirAJzaZQalgnALeLAy0WMh14+hYZqrar3veGazsvU33pkZPmrT1j
1PLlNCmepSTJvEUzJOGwzf2gB2KTa0Rj5uXg3TicbCGc5+zdo9haOmHUbPK+ma4EuyFIzaOp33pF
lj5m2gTTWXJYu4N8qX0mWy09bdK+2/paa56XvmRIfd46EDkND05VVQ8B2Xj1XBj0rwIJGTG2RUXG
CYFqne2Bui+p/eE5FnB+aTUGaf1hmpfkZVDqlFf6lkwgkqT0dWh7FBqi8g6pYnDatJp1CwVmuoes
5IIsrQ33uq6hhUrAwAPfRt7ZvGjewQmIs4mHhkZSWZxCi3mBVpNcwwjoYR6M47abSgWWAtAGPQuw
PKR935fKty6yyU7WdlN1z31ZgetFgzw4ifpU1tBq0MVybNV9H5p9IYK1qAvvwogHfYvOK9r7APR2
ECUyUE0BzvKMNlEhSoi4Bm3HMaNWCiPrqSVRZ+FMhsL756nLyJIfSsKggqqpPlbCh8vd5TeYQbpD
HlkvehiQVl2KbFElGCMVN54s0q4IiT4F+keQYjIS+acSY9shutmosa/yVcNjQQksGy8o3Hzxylqe
DVAwVgno+Q1kuOIunpyVbN3myhK9sYqakdyKzn/yyBvchgGxsl6QaZgoWoxaXkNCnMdpe2eBxv8Y
hw4xhoZ+rirTvBi8icDyyTfolipRpsQxaN16LOjeE1ASHgoLRSzc5EYjMSIrmjtV6jLagKwaiaH3
tQXScoqfui6qMyooxaWj0811O6e9b+AR7uxQmnyFVbKFLzKbyWGInGmxUR763By3ThKJ57YZ/GJp
5VnoYA6vmCyhJp5w4oYJkcskLTeWr/sDl1L1Vskc4m47FeozucLuqh4Tq1sYYyk2XUP4HJxeK11F
Q0jDWHAWvBjrDk9wKFbhhJbNxNa+gdTQnmEmRpc+knc51SY+yswY1maSXg1Kns1SrgUkT1BDFoZK
CyoPL6hJvdJx/BWr9Yltzk1+O72QnpD7TvPxxce6Ty4FiYtuPRDlqkwN53twRjv/TnQmsUJiwMTg
UUxc56xwDw4ZlUvNNIhEdZ1yEwVkLNCnpUunOcRvhCSknVpa2yzdAj5ZHmKGkbZvnLVZo3/IsOZg
IY+tGDlZorznwieYk4DjR7co0nVP3PmiFa61lyJO9kqTJ35uPVhJsmDNonbllANvRBaR8G3chGV7
p9Bo3vKYQ7xOawh3Ja6mQebRvTUWXxIljA/0VoN92SYASqApX8MWIIo7ICouoeXzKa9j9zSDCn4j
q1SuGtHd2XNaoipatdRJfVgS+UdVoGBFPzTRQBC6rlAUWkCLCMWOvK2I84G8ybz7EJSsdW7u0ipv
rGJlO5p/cEL6niHnybUh2FnmhXJ3uep7YL2jS1u3T9q1rTXGXRA47pNycv3EDxKWUIRbJ1Sp70OH
ZKCix5Nd5Q45P+3I7m1qh+gCkbpcScczT9JwCM+AfRCEM9sKnRaKZB7LheVXRFoERrAfgPVcowH1
mdtFmy/imqxSH7DwesKhuPVx4d7oEdHFOcWrK0xDvbaIcklNaQKFD5m/DZ/wwn/qwVCBj6vzyywO
iaS0036Fps6Hb4N7T+sdDueZ1NQuKmq1a9tpgAbNTuCxYRO1bx0L0HwXEIASggFwcl8Cvhf2Jp5i
nN6aNbh4iMKyZo9YuVCdwv6x8gabg3JBKVi4wxr9X/Iw5bM+ru757ExFD0aes59xi2FfDB5JEFZ8
6gEcANmvlTw0A1q8fEZYVTaClphJvBqr7slQ2VhS5Eo68tRkm56JEkOnQ3vgszBHe2GXAWjOkYY9
WIypv6hjPbuH9NbvEi8rbiPpx/RYsnE5al1M/DKL/QmyExGxYZx3MF1X077CQ0WuWNLpbCENe3DO
Alzsp6OAJLOgtWKdlE3pXrA31R86IN3s7isH1ELLDgdkObpS4jB7P3403YSlM6pghE+ql+du4+sP
eu4M14HhkYaqCS07KG2IHqlX8FkYKy+00iPObSod8rYSSncrx0V34qdZdwaGg61koRdsXt28jR4J
4HauZdFbd9QbKfq7Q2PaC2RF3+pF/wNawH+lpvAvlAu+3clcWfihXvD78Xn+3Usofs1t/s/9od/O
4W9/0F8sQHxTEnIwf1WB+PqDfS2B/OxzkicqJe0zFQ4dASJeSRvD+Gy+4dc//i3JM//bb6NCpM5g
Uwj49tucUrned+P0ZyPx85v8sT7z4+e8uoHPOWvEXNfxwzz7vqaiIx/4KyNw9AHfjQCiA2WyVbK+
2o/eGgGLAXAAEn/9xTn+f2UE/rwW9Yeo9K8MxNHnfDcQQMyp+Qg8OL/e6dGjQIHJni0E5ly54Nf/
1qNwdAMvX+t1++f/+Mc3WctffCCOPua7ceCVoHJKN+LPxsFx8BdDgf91mP6vjgMV4X/1eRBojwHp
Msm8nhOkjg4IRO2vDwKymv9bb4QydWqg2DPQT0NugktMYfVfGwvrFwq13C7E4V9/vRqS2UX4V4fg
L8ydvy81yyBMnr8uMuFL/V1h+90/8Nvs++MHfJtV5/flvwQsOlHUgca8ISZD8hSIb4eSTcAFP5Ik
rCIAWwPVDvUfps0odsE8BRP0yEwtSiwC7mMBS1RCXQmaDrBVcs5ILCnJTy9KzEUu+BG5HeEgjBF7
eKTjMx/fnRC4JwOIMprAKjoKTcc7w0Ch2fg3L1BouFNiUWbxkcYclPhEtGgojdCgROD0d2mRgktm
WWYxWnsBa9mA30JsKRreBsJM57C2DTZtqHkYpCI5JzWxyA4AAAD//w==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673100</xdr:colOff>
      <xdr:row>23</xdr:row>
      <xdr:rowOff>57150</xdr:rowOff>
    </xdr:from>
    <xdr:to>
      <xdr:col>4</xdr:col>
      <xdr:colOff>57150</xdr:colOff>
      <xdr:row>37</xdr:row>
      <xdr:rowOff>76200</xdr:rowOff>
    </xdr:to>
    <xdr:graphicFrame macro="">
      <xdr:nvGraphicFramePr>
        <xdr:cNvPr id="2" name="Chart 1">
          <a:extLst>
            <a:ext uri="{FF2B5EF4-FFF2-40B4-BE49-F238E27FC236}">
              <a16:creationId xmlns:a16="http://schemas.microsoft.com/office/drawing/2014/main" id="{61B13F3D-223E-E40A-874E-99F81361B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409575</xdr:colOff>
      <xdr:row>3</xdr:row>
      <xdr:rowOff>6350</xdr:rowOff>
    </xdr:from>
    <xdr:to>
      <xdr:col>8</xdr:col>
      <xdr:colOff>546100</xdr:colOff>
      <xdr:row>22</xdr:row>
      <xdr:rowOff>82550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FEDEA6F-4ACB-BD59-30A2-FFC901B858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02325" y="558800"/>
              <a:ext cx="1965325" cy="3575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0</xdr:row>
      <xdr:rowOff>152400</xdr:rowOff>
    </xdr:from>
    <xdr:to>
      <xdr:col>3</xdr:col>
      <xdr:colOff>184150</xdr:colOff>
      <xdr:row>2</xdr:row>
      <xdr:rowOff>38100</xdr:rowOff>
    </xdr:to>
    <xdr:sp macro="" textlink="">
      <xdr:nvSpPr>
        <xdr:cNvPr id="2" name="TextBox 1">
          <a:extLst>
            <a:ext uri="{FF2B5EF4-FFF2-40B4-BE49-F238E27FC236}">
              <a16:creationId xmlns:a16="http://schemas.microsoft.com/office/drawing/2014/main" id="{B5ABACAE-1B89-1779-BEEA-F10AA71CF5A5}"/>
            </a:ext>
          </a:extLst>
        </xdr:cNvPr>
        <xdr:cNvSpPr txBox="1"/>
      </xdr:nvSpPr>
      <xdr:spPr>
        <a:xfrm>
          <a:off x="457200" y="152400"/>
          <a:ext cx="15557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Sales Dashboard</a:t>
          </a:r>
        </a:p>
      </xdr:txBody>
    </xdr:sp>
    <xdr:clientData/>
  </xdr:twoCellAnchor>
  <xdr:twoCellAnchor>
    <xdr:from>
      <xdr:col>4</xdr:col>
      <xdr:colOff>381000</xdr:colOff>
      <xdr:row>2</xdr:row>
      <xdr:rowOff>0</xdr:rowOff>
    </xdr:from>
    <xdr:to>
      <xdr:col>4</xdr:col>
      <xdr:colOff>381000</xdr:colOff>
      <xdr:row>4</xdr:row>
      <xdr:rowOff>12700</xdr:rowOff>
    </xdr:to>
    <xdr:cxnSp macro="">
      <xdr:nvCxnSpPr>
        <xdr:cNvPr id="24" name="Straight Connector 23">
          <a:extLst>
            <a:ext uri="{FF2B5EF4-FFF2-40B4-BE49-F238E27FC236}">
              <a16:creationId xmlns:a16="http://schemas.microsoft.com/office/drawing/2014/main" id="{CD3CCFCA-F79C-DA68-A114-79A8628880CB}"/>
            </a:ext>
          </a:extLst>
        </xdr:cNvPr>
        <xdr:cNvCxnSpPr/>
      </xdr:nvCxnSpPr>
      <xdr:spPr>
        <a:xfrm>
          <a:off x="2819400" y="368300"/>
          <a:ext cx="0" cy="381000"/>
        </a:xfrm>
        <a:prstGeom prst="line">
          <a:avLst/>
        </a:prstGeom>
        <a:ln>
          <a:solidFill>
            <a:schemeClr val="tx2">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192619</xdr:colOff>
      <xdr:row>1</xdr:row>
      <xdr:rowOff>152400</xdr:rowOff>
    </xdr:from>
    <xdr:to>
      <xdr:col>7</xdr:col>
      <xdr:colOff>192619</xdr:colOff>
      <xdr:row>3</xdr:row>
      <xdr:rowOff>165100</xdr:rowOff>
    </xdr:to>
    <xdr:cxnSp macro="">
      <xdr:nvCxnSpPr>
        <xdr:cNvPr id="25" name="Straight Connector 24">
          <a:extLst>
            <a:ext uri="{FF2B5EF4-FFF2-40B4-BE49-F238E27FC236}">
              <a16:creationId xmlns:a16="http://schemas.microsoft.com/office/drawing/2014/main" id="{F13D2C79-6B54-4D2F-8259-73E742D14EC2}"/>
            </a:ext>
          </a:extLst>
        </xdr:cNvPr>
        <xdr:cNvCxnSpPr/>
      </xdr:nvCxnSpPr>
      <xdr:spPr>
        <a:xfrm>
          <a:off x="4459819" y="336550"/>
          <a:ext cx="0" cy="381000"/>
        </a:xfrm>
        <a:prstGeom prst="line">
          <a:avLst/>
        </a:prstGeom>
        <a:ln>
          <a:solidFill>
            <a:schemeClr val="tx2">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96310</xdr:colOff>
      <xdr:row>1</xdr:row>
      <xdr:rowOff>179916</xdr:rowOff>
    </xdr:from>
    <xdr:to>
      <xdr:col>10</xdr:col>
      <xdr:colOff>96310</xdr:colOff>
      <xdr:row>4</xdr:row>
      <xdr:rowOff>8466</xdr:rowOff>
    </xdr:to>
    <xdr:cxnSp macro="">
      <xdr:nvCxnSpPr>
        <xdr:cNvPr id="26" name="Straight Connector 25">
          <a:extLst>
            <a:ext uri="{FF2B5EF4-FFF2-40B4-BE49-F238E27FC236}">
              <a16:creationId xmlns:a16="http://schemas.microsoft.com/office/drawing/2014/main" id="{5140124A-6E02-442A-B327-47000224CA53}"/>
            </a:ext>
          </a:extLst>
        </xdr:cNvPr>
        <xdr:cNvCxnSpPr/>
      </xdr:nvCxnSpPr>
      <xdr:spPr>
        <a:xfrm>
          <a:off x="6192310" y="364066"/>
          <a:ext cx="0" cy="381000"/>
        </a:xfrm>
        <a:prstGeom prst="line">
          <a:avLst/>
        </a:prstGeom>
        <a:ln>
          <a:solidFill>
            <a:schemeClr val="tx2">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571500</xdr:colOff>
      <xdr:row>1</xdr:row>
      <xdr:rowOff>152400</xdr:rowOff>
    </xdr:from>
    <xdr:to>
      <xdr:col>12</xdr:col>
      <xdr:colOff>571500</xdr:colOff>
      <xdr:row>3</xdr:row>
      <xdr:rowOff>165100</xdr:rowOff>
    </xdr:to>
    <xdr:cxnSp macro="">
      <xdr:nvCxnSpPr>
        <xdr:cNvPr id="27" name="Straight Connector 26">
          <a:extLst>
            <a:ext uri="{FF2B5EF4-FFF2-40B4-BE49-F238E27FC236}">
              <a16:creationId xmlns:a16="http://schemas.microsoft.com/office/drawing/2014/main" id="{424F9768-DD80-4E86-BBF8-81E9B91F299C}"/>
            </a:ext>
          </a:extLst>
        </xdr:cNvPr>
        <xdr:cNvCxnSpPr/>
      </xdr:nvCxnSpPr>
      <xdr:spPr>
        <a:xfrm>
          <a:off x="7886700" y="336550"/>
          <a:ext cx="0" cy="381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60328</xdr:colOff>
      <xdr:row>0</xdr:row>
      <xdr:rowOff>124883</xdr:rowOff>
    </xdr:from>
    <xdr:to>
      <xdr:col>14</xdr:col>
      <xdr:colOff>317500</xdr:colOff>
      <xdr:row>4</xdr:row>
      <xdr:rowOff>46570</xdr:rowOff>
    </xdr:to>
    <xdr:grpSp>
      <xdr:nvGrpSpPr>
        <xdr:cNvPr id="37" name="Group 36">
          <a:extLst>
            <a:ext uri="{FF2B5EF4-FFF2-40B4-BE49-F238E27FC236}">
              <a16:creationId xmlns:a16="http://schemas.microsoft.com/office/drawing/2014/main" id="{DA71135F-1D57-8520-A5DD-6453EDB51741}"/>
            </a:ext>
          </a:extLst>
        </xdr:cNvPr>
        <xdr:cNvGrpSpPr/>
      </xdr:nvGrpSpPr>
      <xdr:grpSpPr>
        <a:xfrm>
          <a:off x="3011902" y="124883"/>
          <a:ext cx="7265691" cy="674280"/>
          <a:chOff x="2498728" y="124883"/>
          <a:chExt cx="6353172" cy="658287"/>
        </a:xfrm>
      </xdr:grpSpPr>
      <xdr:grpSp>
        <xdr:nvGrpSpPr>
          <xdr:cNvPr id="7" name="Group 6">
            <a:extLst>
              <a:ext uri="{FF2B5EF4-FFF2-40B4-BE49-F238E27FC236}">
                <a16:creationId xmlns:a16="http://schemas.microsoft.com/office/drawing/2014/main" id="{49A78040-FAA2-0B0C-F085-2321BF7E9297}"/>
              </a:ext>
            </a:extLst>
          </xdr:cNvPr>
          <xdr:cNvGrpSpPr/>
        </xdr:nvGrpSpPr>
        <xdr:grpSpPr>
          <a:xfrm>
            <a:off x="2498728" y="124883"/>
            <a:ext cx="1349372" cy="635004"/>
            <a:chOff x="3051178" y="196850"/>
            <a:chExt cx="1139822" cy="635004"/>
          </a:xfrm>
        </xdr:grpSpPr>
        <xdr:sp macro="" textlink="">
          <xdr:nvSpPr>
            <xdr:cNvPr id="5" name="Rectangle: Top Corners Rounded 4">
              <a:extLst>
                <a:ext uri="{FF2B5EF4-FFF2-40B4-BE49-F238E27FC236}">
                  <a16:creationId xmlns:a16="http://schemas.microsoft.com/office/drawing/2014/main" id="{C6D6A3CF-C9F9-6390-2A82-DE68C6610B14}"/>
                </a:ext>
              </a:extLst>
            </xdr:cNvPr>
            <xdr:cNvSpPr/>
          </xdr:nvSpPr>
          <xdr:spPr>
            <a:xfrm rot="5400000">
              <a:off x="2817813" y="430217"/>
              <a:ext cx="635002" cy="168272"/>
            </a:xfrm>
            <a:prstGeom prst="round2SameRect">
              <a:avLst>
                <a:gd name="adj1" fmla="val 16667"/>
                <a:gd name="adj2" fmla="val 50000"/>
              </a:avLst>
            </a:prstGeom>
            <a:solidFill>
              <a:srgbClr val="FFFF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Top Corners Rounded 5">
              <a:extLst>
                <a:ext uri="{FF2B5EF4-FFF2-40B4-BE49-F238E27FC236}">
                  <a16:creationId xmlns:a16="http://schemas.microsoft.com/office/drawing/2014/main" id="{F8ED562D-2614-42F4-85DA-895D10CA3B1A}"/>
                </a:ext>
              </a:extLst>
            </xdr:cNvPr>
            <xdr:cNvSpPr/>
          </xdr:nvSpPr>
          <xdr:spPr>
            <a:xfrm rot="5400000">
              <a:off x="3346450" y="-12700"/>
              <a:ext cx="635000" cy="1054100"/>
            </a:xfrm>
            <a:prstGeom prst="round2Same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9" name="Group 8">
            <a:extLst>
              <a:ext uri="{FF2B5EF4-FFF2-40B4-BE49-F238E27FC236}">
                <a16:creationId xmlns:a16="http://schemas.microsoft.com/office/drawing/2014/main" id="{E61D9DAB-3989-46D8-B476-20B342FAEF38}"/>
              </a:ext>
            </a:extLst>
          </xdr:cNvPr>
          <xdr:cNvGrpSpPr/>
        </xdr:nvGrpSpPr>
        <xdr:grpSpPr>
          <a:xfrm>
            <a:off x="4224868" y="139700"/>
            <a:ext cx="1299631" cy="635004"/>
            <a:chOff x="3051178" y="196850"/>
            <a:chExt cx="1139822" cy="635004"/>
          </a:xfrm>
        </xdr:grpSpPr>
        <xdr:sp macro="" textlink="">
          <xdr:nvSpPr>
            <xdr:cNvPr id="10" name="Rectangle: Top Corners Rounded 9">
              <a:extLst>
                <a:ext uri="{FF2B5EF4-FFF2-40B4-BE49-F238E27FC236}">
                  <a16:creationId xmlns:a16="http://schemas.microsoft.com/office/drawing/2014/main" id="{803C9DA1-6891-7222-2E76-C4532A880785}"/>
                </a:ext>
              </a:extLst>
            </xdr:cNvPr>
            <xdr:cNvSpPr/>
          </xdr:nvSpPr>
          <xdr:spPr>
            <a:xfrm rot="5400000">
              <a:off x="2817813" y="430217"/>
              <a:ext cx="635002" cy="168272"/>
            </a:xfrm>
            <a:prstGeom prst="round2SameRect">
              <a:avLst>
                <a:gd name="adj1" fmla="val 16667"/>
                <a:gd name="adj2" fmla="val 50000"/>
              </a:avLst>
            </a:prstGeom>
            <a:solidFill>
              <a:srgbClr val="FFFF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Top Corners Rounded 10">
              <a:extLst>
                <a:ext uri="{FF2B5EF4-FFF2-40B4-BE49-F238E27FC236}">
                  <a16:creationId xmlns:a16="http://schemas.microsoft.com/office/drawing/2014/main" id="{8DD0DD99-6F72-0881-4AA8-8BEF8CB8DF38}"/>
                </a:ext>
              </a:extLst>
            </xdr:cNvPr>
            <xdr:cNvSpPr/>
          </xdr:nvSpPr>
          <xdr:spPr>
            <a:xfrm rot="5400000">
              <a:off x="3346450" y="-12700"/>
              <a:ext cx="635000" cy="1054100"/>
            </a:xfrm>
            <a:prstGeom prst="round2Same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2" name="Group 11">
            <a:extLst>
              <a:ext uri="{FF2B5EF4-FFF2-40B4-BE49-F238E27FC236}">
                <a16:creationId xmlns:a16="http://schemas.microsoft.com/office/drawing/2014/main" id="{27ABBAD4-2DA0-48BF-B711-5115C00DB5DC}"/>
              </a:ext>
            </a:extLst>
          </xdr:cNvPr>
          <xdr:cNvGrpSpPr/>
        </xdr:nvGrpSpPr>
        <xdr:grpSpPr>
          <a:xfrm>
            <a:off x="5919260" y="148166"/>
            <a:ext cx="1338790" cy="635004"/>
            <a:chOff x="3051178" y="196850"/>
            <a:chExt cx="1139822" cy="635004"/>
          </a:xfrm>
        </xdr:grpSpPr>
        <xdr:sp macro="" textlink="">
          <xdr:nvSpPr>
            <xdr:cNvPr id="13" name="Rectangle: Top Corners Rounded 12">
              <a:extLst>
                <a:ext uri="{FF2B5EF4-FFF2-40B4-BE49-F238E27FC236}">
                  <a16:creationId xmlns:a16="http://schemas.microsoft.com/office/drawing/2014/main" id="{4CFD0749-031E-92AA-B1A0-4F61C33F91F6}"/>
                </a:ext>
              </a:extLst>
            </xdr:cNvPr>
            <xdr:cNvSpPr/>
          </xdr:nvSpPr>
          <xdr:spPr>
            <a:xfrm rot="5400000">
              <a:off x="2817813" y="430217"/>
              <a:ext cx="635002" cy="168272"/>
            </a:xfrm>
            <a:prstGeom prst="round2SameRect">
              <a:avLst>
                <a:gd name="adj1" fmla="val 16667"/>
                <a:gd name="adj2" fmla="val 50000"/>
              </a:avLst>
            </a:prstGeom>
            <a:solidFill>
              <a:srgbClr val="FFFF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Top Corners Rounded 13">
              <a:extLst>
                <a:ext uri="{FF2B5EF4-FFF2-40B4-BE49-F238E27FC236}">
                  <a16:creationId xmlns:a16="http://schemas.microsoft.com/office/drawing/2014/main" id="{DCBF026B-8D85-E227-BB59-9356A1B95E69}"/>
                </a:ext>
              </a:extLst>
            </xdr:cNvPr>
            <xdr:cNvSpPr/>
          </xdr:nvSpPr>
          <xdr:spPr>
            <a:xfrm rot="5400000">
              <a:off x="3346450" y="-12700"/>
              <a:ext cx="635000" cy="1054100"/>
            </a:xfrm>
            <a:prstGeom prst="round2Same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5" name="Group 14">
            <a:extLst>
              <a:ext uri="{FF2B5EF4-FFF2-40B4-BE49-F238E27FC236}">
                <a16:creationId xmlns:a16="http://schemas.microsoft.com/office/drawing/2014/main" id="{DD5F42EF-E417-4642-8B2B-A46B19B24046}"/>
              </a:ext>
            </a:extLst>
          </xdr:cNvPr>
          <xdr:cNvGrpSpPr/>
        </xdr:nvGrpSpPr>
        <xdr:grpSpPr>
          <a:xfrm>
            <a:off x="7620000" y="146050"/>
            <a:ext cx="1231900" cy="635004"/>
            <a:chOff x="3051178" y="196850"/>
            <a:chExt cx="1139822" cy="635004"/>
          </a:xfrm>
        </xdr:grpSpPr>
        <xdr:sp macro="" textlink="">
          <xdr:nvSpPr>
            <xdr:cNvPr id="16" name="Rectangle: Top Corners Rounded 15">
              <a:extLst>
                <a:ext uri="{FF2B5EF4-FFF2-40B4-BE49-F238E27FC236}">
                  <a16:creationId xmlns:a16="http://schemas.microsoft.com/office/drawing/2014/main" id="{A1338527-95D1-B916-7F89-CB07C9933396}"/>
                </a:ext>
              </a:extLst>
            </xdr:cNvPr>
            <xdr:cNvSpPr/>
          </xdr:nvSpPr>
          <xdr:spPr>
            <a:xfrm rot="5400000">
              <a:off x="2817813" y="430217"/>
              <a:ext cx="635002" cy="168272"/>
            </a:xfrm>
            <a:prstGeom prst="round2SameRect">
              <a:avLst>
                <a:gd name="adj1" fmla="val 16667"/>
                <a:gd name="adj2" fmla="val 50000"/>
              </a:avLst>
            </a:prstGeom>
            <a:solidFill>
              <a:srgbClr val="FFFF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Top Corners Rounded 16">
              <a:extLst>
                <a:ext uri="{FF2B5EF4-FFF2-40B4-BE49-F238E27FC236}">
                  <a16:creationId xmlns:a16="http://schemas.microsoft.com/office/drawing/2014/main" id="{C342FAAB-7EFD-2693-30F9-F877FEB25D7A}"/>
                </a:ext>
              </a:extLst>
            </xdr:cNvPr>
            <xdr:cNvSpPr/>
          </xdr:nvSpPr>
          <xdr:spPr>
            <a:xfrm rot="5400000">
              <a:off x="3346450" y="-12700"/>
              <a:ext cx="635000" cy="1054100"/>
            </a:xfrm>
            <a:prstGeom prst="round2Same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9" name="TextBox 18">
            <a:extLst>
              <a:ext uri="{FF2B5EF4-FFF2-40B4-BE49-F238E27FC236}">
                <a16:creationId xmlns:a16="http://schemas.microsoft.com/office/drawing/2014/main" id="{84DD6A8F-1CEB-DF97-2462-DE1D6BAE4AE4}"/>
              </a:ext>
            </a:extLst>
          </xdr:cNvPr>
          <xdr:cNvSpPr txBox="1"/>
        </xdr:nvSpPr>
        <xdr:spPr>
          <a:xfrm>
            <a:off x="2686050" y="171450"/>
            <a:ext cx="8509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Cost</a:t>
            </a:r>
          </a:p>
        </xdr:txBody>
      </xdr:sp>
      <xdr:sp macro="" textlink="">
        <xdr:nvSpPr>
          <xdr:cNvPr id="20" name="TextBox 19">
            <a:extLst>
              <a:ext uri="{FF2B5EF4-FFF2-40B4-BE49-F238E27FC236}">
                <a16:creationId xmlns:a16="http://schemas.microsoft.com/office/drawing/2014/main" id="{435E2CC3-A741-4B79-AD17-AF22A87AD1EB}"/>
              </a:ext>
            </a:extLst>
          </xdr:cNvPr>
          <xdr:cNvSpPr txBox="1"/>
        </xdr:nvSpPr>
        <xdr:spPr>
          <a:xfrm>
            <a:off x="4305301" y="146050"/>
            <a:ext cx="10731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Calls</a:t>
            </a:r>
            <a:r>
              <a:rPr lang="en-US" sz="1100" baseline="0"/>
              <a:t> Reached </a:t>
            </a:r>
            <a:endParaRPr lang="en-US" sz="1100"/>
          </a:p>
        </xdr:txBody>
      </xdr:sp>
      <xdr:sp macro="" textlink="">
        <xdr:nvSpPr>
          <xdr:cNvPr id="21" name="TextBox 20">
            <a:extLst>
              <a:ext uri="{FF2B5EF4-FFF2-40B4-BE49-F238E27FC236}">
                <a16:creationId xmlns:a16="http://schemas.microsoft.com/office/drawing/2014/main" id="{DBC054BD-50D0-44CA-B0C6-35DE0BBB85F3}"/>
              </a:ext>
            </a:extLst>
          </xdr:cNvPr>
          <xdr:cNvSpPr txBox="1"/>
        </xdr:nvSpPr>
        <xdr:spPr>
          <a:xfrm>
            <a:off x="6090710" y="167216"/>
            <a:ext cx="995890" cy="213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Deals</a:t>
            </a:r>
            <a:r>
              <a:rPr lang="en-US" sz="1100" baseline="0"/>
              <a:t> Closed</a:t>
            </a:r>
            <a:endParaRPr lang="en-US" sz="1100"/>
          </a:p>
        </xdr:txBody>
      </xdr:sp>
      <xdr:sp macro="" textlink="">
        <xdr:nvSpPr>
          <xdr:cNvPr id="22" name="TextBox 21">
            <a:extLst>
              <a:ext uri="{FF2B5EF4-FFF2-40B4-BE49-F238E27FC236}">
                <a16:creationId xmlns:a16="http://schemas.microsoft.com/office/drawing/2014/main" id="{6FE2E3CB-3433-4FA4-81E3-1B413E7523E1}"/>
              </a:ext>
            </a:extLst>
          </xdr:cNvPr>
          <xdr:cNvSpPr txBox="1"/>
        </xdr:nvSpPr>
        <xdr:spPr>
          <a:xfrm>
            <a:off x="7810500" y="165100"/>
            <a:ext cx="8509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Deals</a:t>
            </a:r>
            <a:r>
              <a:rPr lang="en-US" sz="1100" baseline="0"/>
              <a:t> Value</a:t>
            </a:r>
            <a:endParaRPr lang="en-US" sz="1100"/>
          </a:p>
        </xdr:txBody>
      </xdr:sp>
      <xdr:pic>
        <xdr:nvPicPr>
          <xdr:cNvPr id="29" name="Graphic 28" descr="Target Audience">
            <a:extLst>
              <a:ext uri="{FF2B5EF4-FFF2-40B4-BE49-F238E27FC236}">
                <a16:creationId xmlns:a16="http://schemas.microsoft.com/office/drawing/2014/main" id="{879E32D8-FCEA-B349-D311-75CABE513E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41800" y="387350"/>
            <a:ext cx="349250" cy="349250"/>
          </a:xfrm>
          <a:prstGeom prst="rect">
            <a:avLst/>
          </a:prstGeom>
        </xdr:spPr>
      </xdr:pic>
      <xdr:pic>
        <xdr:nvPicPr>
          <xdr:cNvPr id="31" name="Graphic 30" descr="Money">
            <a:extLst>
              <a:ext uri="{FF2B5EF4-FFF2-40B4-BE49-F238E27FC236}">
                <a16:creationId xmlns:a16="http://schemas.microsoft.com/office/drawing/2014/main" id="{8B900B89-34E1-A5F1-F0FC-AAB9A948B6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12850" y="397650"/>
            <a:ext cx="313550" cy="313550"/>
          </a:xfrm>
          <a:prstGeom prst="rect">
            <a:avLst/>
          </a:prstGeom>
        </xdr:spPr>
      </xdr:pic>
      <xdr:pic>
        <xdr:nvPicPr>
          <xdr:cNvPr id="33" name="Graphic 32" descr="Receiver">
            <a:extLst>
              <a:ext uri="{FF2B5EF4-FFF2-40B4-BE49-F238E27FC236}">
                <a16:creationId xmlns:a16="http://schemas.microsoft.com/office/drawing/2014/main" id="{BB94FEB0-98AF-862B-3A70-9C75E96C24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11400" y="382550"/>
            <a:ext cx="290550" cy="290550"/>
          </a:xfrm>
          <a:prstGeom prst="rect">
            <a:avLst/>
          </a:prstGeom>
        </xdr:spPr>
      </xdr:pic>
      <xdr:pic>
        <xdr:nvPicPr>
          <xdr:cNvPr id="35" name="Graphic 34" descr="Bullseye">
            <a:extLst>
              <a:ext uri="{FF2B5EF4-FFF2-40B4-BE49-F238E27FC236}">
                <a16:creationId xmlns:a16="http://schemas.microsoft.com/office/drawing/2014/main" id="{F4C071FC-88A2-F738-EA7A-2A219431F0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974500" y="418250"/>
            <a:ext cx="343750" cy="343750"/>
          </a:xfrm>
          <a:prstGeom prst="rect">
            <a:avLst/>
          </a:prstGeom>
        </xdr:spPr>
      </xdr:pic>
    </xdr:grpSp>
    <xdr:clientData/>
  </xdr:twoCellAnchor>
  <xdr:twoCellAnchor>
    <xdr:from>
      <xdr:col>4</xdr:col>
      <xdr:colOff>482600</xdr:colOff>
      <xdr:row>2</xdr:row>
      <xdr:rowOff>25400</xdr:rowOff>
    </xdr:from>
    <xdr:to>
      <xdr:col>6</xdr:col>
      <xdr:colOff>69850</xdr:colOff>
      <xdr:row>3</xdr:row>
      <xdr:rowOff>107950</xdr:rowOff>
    </xdr:to>
    <xdr:sp macro="" textlink="Calculation!B6">
      <xdr:nvSpPr>
        <xdr:cNvPr id="38" name="TextBox 37">
          <a:extLst>
            <a:ext uri="{FF2B5EF4-FFF2-40B4-BE49-F238E27FC236}">
              <a16:creationId xmlns:a16="http://schemas.microsoft.com/office/drawing/2014/main" id="{3EE50B9E-4EB9-0CBD-AD06-BD47B47455BB}"/>
            </a:ext>
          </a:extLst>
        </xdr:cNvPr>
        <xdr:cNvSpPr txBox="1"/>
      </xdr:nvSpPr>
      <xdr:spPr>
        <a:xfrm>
          <a:off x="2921000" y="393700"/>
          <a:ext cx="806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A218D5-698F-4BAC-ACB9-6A2794EEBF47}" type="TxLink">
            <a:rPr lang="en-US" sz="1100" b="1" i="0" u="none" strike="noStrike">
              <a:ln>
                <a:noFill/>
              </a:ln>
              <a:solidFill>
                <a:srgbClr val="000000"/>
              </a:solidFill>
              <a:latin typeface="Calibri"/>
              <a:ea typeface="Calibri"/>
              <a:cs typeface="Calibri"/>
            </a:rPr>
            <a:pPr marL="0" indent="0"/>
            <a:t>18300</a:t>
          </a:fld>
          <a:endParaRPr lang="en-US" sz="1100" b="1" i="0" u="none" strike="noStrike">
            <a:ln>
              <a:noFill/>
            </a:ln>
            <a:solidFill>
              <a:srgbClr val="000000"/>
            </a:solidFill>
            <a:latin typeface="Calibri"/>
            <a:ea typeface="Calibri"/>
            <a:cs typeface="Calibri"/>
          </a:endParaRPr>
        </a:p>
      </xdr:txBody>
    </xdr:sp>
    <xdr:clientData/>
  </xdr:twoCellAnchor>
  <xdr:twoCellAnchor>
    <xdr:from>
      <xdr:col>7</xdr:col>
      <xdr:colOff>381000</xdr:colOff>
      <xdr:row>2</xdr:row>
      <xdr:rowOff>31750</xdr:rowOff>
    </xdr:from>
    <xdr:to>
      <xdr:col>8</xdr:col>
      <xdr:colOff>584200</xdr:colOff>
      <xdr:row>3</xdr:row>
      <xdr:rowOff>69850</xdr:rowOff>
    </xdr:to>
    <xdr:sp macro="" textlink="Calculation!B7">
      <xdr:nvSpPr>
        <xdr:cNvPr id="39" name="TextBox 38">
          <a:extLst>
            <a:ext uri="{FF2B5EF4-FFF2-40B4-BE49-F238E27FC236}">
              <a16:creationId xmlns:a16="http://schemas.microsoft.com/office/drawing/2014/main" id="{CD74366E-6843-4A58-AEF2-2C63D49AF385}"/>
            </a:ext>
          </a:extLst>
        </xdr:cNvPr>
        <xdr:cNvSpPr txBox="1"/>
      </xdr:nvSpPr>
      <xdr:spPr>
        <a:xfrm>
          <a:off x="4648200" y="400050"/>
          <a:ext cx="812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FD67EC-5F67-4936-B743-C11F836AECAD}" type="TxLink">
            <a:rPr lang="en-US" sz="1100" b="1" i="0" u="none" strike="noStrike">
              <a:ln>
                <a:noFill/>
              </a:ln>
              <a:solidFill>
                <a:srgbClr val="000000"/>
              </a:solidFill>
              <a:latin typeface="Calibri"/>
              <a:ea typeface="Calibri"/>
              <a:cs typeface="Calibri"/>
            </a:rPr>
            <a:t>3619</a:t>
          </a:fld>
          <a:endParaRPr lang="en-US" sz="1100" b="1">
            <a:ln>
              <a:noFill/>
            </a:ln>
          </a:endParaRPr>
        </a:p>
      </xdr:txBody>
    </xdr:sp>
    <xdr:clientData/>
  </xdr:twoCellAnchor>
  <xdr:twoCellAnchor>
    <xdr:from>
      <xdr:col>10</xdr:col>
      <xdr:colOff>222250</xdr:colOff>
      <xdr:row>2</xdr:row>
      <xdr:rowOff>76200</xdr:rowOff>
    </xdr:from>
    <xdr:to>
      <xdr:col>11</xdr:col>
      <xdr:colOff>488950</xdr:colOff>
      <xdr:row>4</xdr:row>
      <xdr:rowOff>0</xdr:rowOff>
    </xdr:to>
    <xdr:sp macro="" textlink="Calculation!B8">
      <xdr:nvSpPr>
        <xdr:cNvPr id="40" name="TextBox 39">
          <a:extLst>
            <a:ext uri="{FF2B5EF4-FFF2-40B4-BE49-F238E27FC236}">
              <a16:creationId xmlns:a16="http://schemas.microsoft.com/office/drawing/2014/main" id="{661A7695-80B5-4F85-A25A-9CEA44583975}"/>
            </a:ext>
          </a:extLst>
        </xdr:cNvPr>
        <xdr:cNvSpPr txBox="1"/>
      </xdr:nvSpPr>
      <xdr:spPr>
        <a:xfrm>
          <a:off x="6318250" y="444500"/>
          <a:ext cx="876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12AF9C-F4B8-41CF-B97B-4A364C20071D}" type="TxLink">
            <a:rPr lang="en-US" sz="1100" b="1" i="0" u="none" strike="noStrike">
              <a:ln>
                <a:noFill/>
              </a:ln>
              <a:solidFill>
                <a:srgbClr val="000000"/>
              </a:solidFill>
              <a:latin typeface="Calibri"/>
              <a:ea typeface="Calibri"/>
              <a:cs typeface="Calibri"/>
            </a:rPr>
            <a:t>1309</a:t>
          </a:fld>
          <a:endParaRPr lang="en-US" sz="1100" b="1">
            <a:ln>
              <a:noFill/>
            </a:ln>
          </a:endParaRPr>
        </a:p>
      </xdr:txBody>
    </xdr:sp>
    <xdr:clientData/>
  </xdr:twoCellAnchor>
  <xdr:twoCellAnchor>
    <xdr:from>
      <xdr:col>13</xdr:col>
      <xdr:colOff>133350</xdr:colOff>
      <xdr:row>2</xdr:row>
      <xdr:rowOff>88900</xdr:rowOff>
    </xdr:from>
    <xdr:to>
      <xdr:col>14</xdr:col>
      <xdr:colOff>361950</xdr:colOff>
      <xdr:row>4</xdr:row>
      <xdr:rowOff>63500</xdr:rowOff>
    </xdr:to>
    <xdr:sp macro="" textlink="Calculation!B9">
      <xdr:nvSpPr>
        <xdr:cNvPr id="41" name="TextBox 40">
          <a:extLst>
            <a:ext uri="{FF2B5EF4-FFF2-40B4-BE49-F238E27FC236}">
              <a16:creationId xmlns:a16="http://schemas.microsoft.com/office/drawing/2014/main" id="{85AC32BF-70C4-4FDD-B28E-0A85A4818FD9}"/>
            </a:ext>
          </a:extLst>
        </xdr:cNvPr>
        <xdr:cNvSpPr txBox="1"/>
      </xdr:nvSpPr>
      <xdr:spPr>
        <a:xfrm>
          <a:off x="8058150" y="457200"/>
          <a:ext cx="838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3D5697-16BD-4D0A-9F2E-71C56E820ECC}" type="TxLink">
            <a:rPr lang="en-US" sz="1100" b="1" i="0" u="none" strike="noStrike">
              <a:ln>
                <a:noFill/>
              </a:ln>
              <a:solidFill>
                <a:srgbClr val="000000"/>
              </a:solidFill>
              <a:latin typeface="Calibri"/>
              <a:ea typeface="Calibri"/>
              <a:cs typeface="Calibri"/>
            </a:rPr>
            <a:t>706194.89</a:t>
          </a:fld>
          <a:endParaRPr lang="en-US" sz="1100" b="1">
            <a:ln>
              <a:noFill/>
            </a:ln>
          </a:endParaRPr>
        </a:p>
      </xdr:txBody>
    </xdr:sp>
    <xdr:clientData/>
  </xdr:twoCellAnchor>
  <xdr:twoCellAnchor>
    <xdr:from>
      <xdr:col>7</xdr:col>
      <xdr:colOff>15615</xdr:colOff>
      <xdr:row>5</xdr:row>
      <xdr:rowOff>15543</xdr:rowOff>
    </xdr:from>
    <xdr:to>
      <xdr:col>10</xdr:col>
      <xdr:colOff>94074</xdr:colOff>
      <xdr:row>33</xdr:row>
      <xdr:rowOff>11759</xdr:rowOff>
    </xdr:to>
    <xdr:graphicFrame macro="">
      <xdr:nvGraphicFramePr>
        <xdr:cNvPr id="42" name="Chart 41">
          <a:extLst>
            <a:ext uri="{FF2B5EF4-FFF2-40B4-BE49-F238E27FC236}">
              <a16:creationId xmlns:a16="http://schemas.microsoft.com/office/drawing/2014/main" id="{CC77B0F0-1DBB-455C-B263-D55FECD8C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4</xdr:row>
      <xdr:rowOff>176966</xdr:rowOff>
    </xdr:from>
    <xdr:to>
      <xdr:col>2</xdr:col>
      <xdr:colOff>0</xdr:colOff>
      <xdr:row>32</xdr:row>
      <xdr:rowOff>164629</xdr:rowOff>
    </xdr:to>
    <mc:AlternateContent xmlns:mc="http://schemas.openxmlformats.org/markup-compatibility/2006">
      <mc:Choice xmlns:a14="http://schemas.microsoft.com/office/drawing/2010/main" Requires="a14">
        <xdr:graphicFrame macro="">
          <xdr:nvGraphicFramePr>
            <xdr:cNvPr id="43" name="Name">
              <a:extLst>
                <a:ext uri="{FF2B5EF4-FFF2-40B4-BE49-F238E27FC236}">
                  <a16:creationId xmlns:a16="http://schemas.microsoft.com/office/drawing/2014/main" id="{DCA748FC-88BA-AEE0-4DE5-805489048EAB}"/>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0" y="929559"/>
              <a:ext cx="1222963" cy="5255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4</xdr:row>
      <xdr:rowOff>181026</xdr:rowOff>
    </xdr:from>
    <xdr:to>
      <xdr:col>14</xdr:col>
      <xdr:colOff>599722</xdr:colOff>
      <xdr:row>33</xdr:row>
      <xdr:rowOff>11759</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2AE9E545-13D2-4085-B5F0-03B8D90F5B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514167" y="933619"/>
              <a:ext cx="3045648" cy="52870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4.474877314817" createdVersion="8" refreshedVersion="8" minRefreshableVersion="3" recordCount="312" xr:uid="{352077DA-C35F-4DA3-90E6-0C7DA75CA126}">
  <cacheSource type="worksheet">
    <worksheetSource name="SalesData3"/>
  </cacheSource>
  <cacheFields count="13">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Region" numFmtId="0">
      <sharedItems count="5">
        <s v="Dhaka"/>
        <s v="Rangpur"/>
        <s v="Sylhet"/>
        <s v="Chittagong"/>
        <s v="Barisal"/>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2"/>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Service Level" numFmtId="0">
      <sharedItems containsSemiMixedTypes="0" containsString="0" containsNumber="1" containsInteger="1" minValue="1" maxValue="3"/>
    </cacheField>
    <cacheField name="Call Drop Rate (%)" numFmtId="9">
      <sharedItems containsSemiMixedTypes="0" containsString="0" containsNumber="1" minValue="8.9999999999999998E-4" maxValue="0.10640000000000001"/>
    </cacheField>
    <cacheField name="Days (Date)" numFmtId="0" databaseField="0">
      <fieldGroup base="2">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Months (Date)" numFmtId="0" databaseField="0">
      <fieldGroup base="2">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1803773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n v="74"/>
    <n v="12"/>
    <n v="330.42"/>
    <n v="7"/>
    <n v="0.58333333333333337"/>
    <n v="4276.3100000000004"/>
    <n v="3"/>
    <n v="2.9500000000000002E-2"/>
  </r>
  <r>
    <x v="1"/>
    <x v="0"/>
    <x v="0"/>
    <n v="78"/>
    <n v="12"/>
    <n v="377.5"/>
    <n v="4"/>
    <n v="0.33333333333333331"/>
    <n v="3880.98"/>
    <n v="2"/>
    <n v="4.3400000000000001E-2"/>
  </r>
  <r>
    <x v="2"/>
    <x v="0"/>
    <x v="0"/>
    <n v="47"/>
    <n v="14"/>
    <n v="418.92"/>
    <n v="2"/>
    <n v="0.14285714285714285"/>
    <n v="3716"/>
    <n v="1"/>
    <n v="4.3899999999999995E-2"/>
  </r>
  <r>
    <x v="3"/>
    <x v="0"/>
    <x v="0"/>
    <n v="24"/>
    <n v="6"/>
    <n v="76.930000000000007"/>
    <n v="4"/>
    <n v="0.66666666666666663"/>
    <n v="1552.35"/>
    <n v="3"/>
    <n v="3.0800000000000001E-2"/>
  </r>
  <r>
    <x v="4"/>
    <x v="0"/>
    <x v="0"/>
    <n v="81"/>
    <n v="16"/>
    <n v="516.23"/>
    <n v="5"/>
    <n v="0.3125"/>
    <n v="1030.68"/>
    <n v="2"/>
    <n v="4.1100000000000005E-2"/>
  </r>
  <r>
    <x v="5"/>
    <x v="0"/>
    <x v="0"/>
    <n v="59"/>
    <n v="5"/>
    <n v="520.05999999999995"/>
    <n v="3"/>
    <n v="0.6"/>
    <n v="3546.72"/>
    <n v="1"/>
    <n v="1.2699999999999999E-2"/>
  </r>
  <r>
    <x v="6"/>
    <x v="0"/>
    <x v="0"/>
    <n v="68"/>
    <n v="19"/>
    <n v="290.39"/>
    <n v="3"/>
    <n v="0.15789473684210525"/>
    <n v="2472.2399999999998"/>
    <n v="3"/>
    <n v="9.5399999999999985E-2"/>
  </r>
  <r>
    <x v="7"/>
    <x v="0"/>
    <x v="0"/>
    <n v="60"/>
    <n v="7"/>
    <n v="251.7"/>
    <n v="5"/>
    <n v="0.7142857142857143"/>
    <n v="3956.69"/>
    <n v="2"/>
    <n v="4.1100000000000005E-2"/>
  </r>
  <r>
    <x v="8"/>
    <x v="0"/>
    <x v="0"/>
    <n v="34"/>
    <n v="21"/>
    <n v="362.62"/>
    <n v="9"/>
    <n v="0.42857142857142855"/>
    <n v="1140.08"/>
    <n v="1"/>
    <n v="5.4600000000000003E-2"/>
  </r>
  <r>
    <x v="9"/>
    <x v="0"/>
    <x v="0"/>
    <n v="59"/>
    <n v="13"/>
    <n v="307.49"/>
    <n v="10"/>
    <n v="0.76923076923076927"/>
    <n v="979.09"/>
    <n v="3"/>
    <n v="3.27E-2"/>
  </r>
  <r>
    <x v="10"/>
    <x v="0"/>
    <x v="0"/>
    <n v="18"/>
    <n v="8"/>
    <n v="206.81"/>
    <n v="7"/>
    <n v="0.875"/>
    <n v="720.56"/>
    <n v="2"/>
    <n v="7.8899999999999998E-2"/>
  </r>
  <r>
    <x v="11"/>
    <x v="0"/>
    <x v="0"/>
    <n v="36"/>
    <n v="6"/>
    <n v="547.6"/>
    <n v="5"/>
    <n v="0.83333333333333337"/>
    <n v="3463.18"/>
    <n v="1"/>
    <n v="3.7599999999999995E-2"/>
  </r>
  <r>
    <x v="12"/>
    <x v="0"/>
    <x v="0"/>
    <n v="67"/>
    <n v="17"/>
    <n v="552.54999999999995"/>
    <n v="2"/>
    <n v="0.11764705882352941"/>
    <n v="330.12"/>
    <n v="1"/>
    <n v="3.7200000000000004E-2"/>
  </r>
  <r>
    <x v="13"/>
    <x v="0"/>
    <x v="0"/>
    <n v="36"/>
    <n v="9"/>
    <n v="216.03"/>
    <n v="2"/>
    <n v="0.22222222222222221"/>
    <n v="4072.07"/>
    <n v="3"/>
    <n v="4.1200000000000001E-2"/>
  </r>
  <r>
    <x v="14"/>
    <x v="0"/>
    <x v="0"/>
    <n v="54"/>
    <n v="10"/>
    <n v="208.23"/>
    <n v="3"/>
    <n v="0.3"/>
    <n v="645.83000000000004"/>
    <n v="2"/>
    <n v="2.7999999999999997E-2"/>
  </r>
  <r>
    <x v="15"/>
    <x v="0"/>
    <x v="0"/>
    <n v="82"/>
    <n v="4"/>
    <n v="180.06"/>
    <n v="4"/>
    <n v="1"/>
    <n v="1207.17"/>
    <n v="1"/>
    <n v="8.4199999999999997E-2"/>
  </r>
  <r>
    <x v="16"/>
    <x v="0"/>
    <x v="0"/>
    <n v="81"/>
    <n v="7"/>
    <n v="82.43"/>
    <n v="7"/>
    <n v="1"/>
    <n v="3463.96"/>
    <n v="3"/>
    <n v="8.4900000000000003E-2"/>
  </r>
  <r>
    <x v="17"/>
    <x v="0"/>
    <x v="0"/>
    <n v="31"/>
    <n v="17"/>
    <n v="476.95"/>
    <n v="7"/>
    <n v="0.41176470588235292"/>
    <n v="3945.43"/>
    <n v="2"/>
    <n v="3.6000000000000004E-2"/>
  </r>
  <r>
    <x v="18"/>
    <x v="0"/>
    <x v="0"/>
    <n v="92"/>
    <n v="20"/>
    <n v="161.41999999999999"/>
    <n v="4"/>
    <n v="0.2"/>
    <n v="425.41"/>
    <n v="1"/>
    <n v="0.1045"/>
  </r>
  <r>
    <x v="19"/>
    <x v="0"/>
    <x v="0"/>
    <n v="73"/>
    <n v="12"/>
    <n v="507.45"/>
    <n v="0"/>
    <n v="0"/>
    <n v="1123.8399999999999"/>
    <n v="3"/>
    <n v="8.9999999999999998E-4"/>
  </r>
  <r>
    <x v="20"/>
    <x v="0"/>
    <x v="0"/>
    <n v="25"/>
    <n v="14"/>
    <n v="279.95"/>
    <n v="2"/>
    <n v="0.14285714285714285"/>
    <n v="1432.23"/>
    <n v="2"/>
    <n v="5.1699999999999996E-2"/>
  </r>
  <r>
    <x v="21"/>
    <x v="0"/>
    <x v="0"/>
    <n v="96"/>
    <n v="6"/>
    <n v="532.83000000000004"/>
    <n v="1"/>
    <n v="0.16666666666666666"/>
    <n v="3173.13"/>
    <n v="1"/>
    <n v="2.8300000000000002E-2"/>
  </r>
  <r>
    <x v="22"/>
    <x v="0"/>
    <x v="0"/>
    <n v="63"/>
    <n v="8"/>
    <n v="170.49"/>
    <n v="7"/>
    <n v="0.875"/>
    <n v="526.12"/>
    <n v="3"/>
    <n v="8.3499999999999991E-2"/>
  </r>
  <r>
    <x v="23"/>
    <x v="1"/>
    <x v="0"/>
    <n v="92"/>
    <n v="13"/>
    <n v="422.39"/>
    <n v="1"/>
    <n v="7.6923076923076927E-2"/>
    <n v="2695.84"/>
    <n v="2"/>
    <n v="2.46E-2"/>
  </r>
  <r>
    <x v="24"/>
    <x v="1"/>
    <x v="0"/>
    <n v="38"/>
    <n v="10"/>
    <n v="514.25"/>
    <n v="4"/>
    <n v="0.4"/>
    <n v="243.62"/>
    <n v="1"/>
    <n v="6.4399999999999999E-2"/>
  </r>
  <r>
    <x v="25"/>
    <x v="1"/>
    <x v="0"/>
    <n v="43"/>
    <n v="15"/>
    <n v="363.48"/>
    <n v="7"/>
    <n v="0.46666666666666667"/>
    <n v="3843.52"/>
    <n v="3"/>
    <n v="8.3400000000000002E-2"/>
  </r>
  <r>
    <x v="0"/>
    <x v="1"/>
    <x v="1"/>
    <n v="62"/>
    <n v="15"/>
    <n v="361.38"/>
    <n v="6"/>
    <n v="0.4"/>
    <n v="4195.1400000000003"/>
    <n v="2"/>
    <n v="2.75E-2"/>
  </r>
  <r>
    <x v="1"/>
    <x v="1"/>
    <x v="1"/>
    <n v="81"/>
    <n v="14"/>
    <n v="362.96"/>
    <n v="5"/>
    <n v="0.35714285714285715"/>
    <n v="3620.19"/>
    <n v="1"/>
    <n v="4.0800000000000003E-2"/>
  </r>
  <r>
    <x v="2"/>
    <x v="1"/>
    <x v="1"/>
    <n v="52"/>
    <n v="14"/>
    <n v="382.59"/>
    <n v="3"/>
    <n v="0.21428571428571427"/>
    <n v="3394.39"/>
    <n v="3"/>
    <n v="4.5599999999999995E-2"/>
  </r>
  <r>
    <x v="3"/>
    <x v="1"/>
    <x v="1"/>
    <n v="22"/>
    <n v="7"/>
    <n v="79.459999999999994"/>
    <n v="3"/>
    <n v="0.42857142857142855"/>
    <n v="1638.74"/>
    <n v="2"/>
    <n v="3.04E-2"/>
  </r>
  <r>
    <x v="4"/>
    <x v="1"/>
    <x v="1"/>
    <n v="93"/>
    <n v="11"/>
    <n v="446.3"/>
    <n v="5"/>
    <n v="0.45454545454545453"/>
    <n v="1057.1400000000001"/>
    <n v="1"/>
    <n v="3.6900000000000002E-2"/>
  </r>
  <r>
    <x v="5"/>
    <x v="1"/>
    <x v="1"/>
    <n v="65"/>
    <n v="7"/>
    <n v="461.67"/>
    <n v="2"/>
    <n v="0.2857142857142857"/>
    <n v="3486.23"/>
    <n v="3"/>
    <n v="1.1200000000000002E-2"/>
  </r>
  <r>
    <x v="6"/>
    <x v="1"/>
    <x v="1"/>
    <n v="90"/>
    <n v="20"/>
    <n v="328.63"/>
    <n v="3"/>
    <n v="0.15"/>
    <n v="2662.44"/>
    <n v="2"/>
    <n v="0.10640000000000001"/>
  </r>
  <r>
    <x v="7"/>
    <x v="1"/>
    <x v="1"/>
    <n v="48"/>
    <n v="7"/>
    <n v="247.66"/>
    <n v="6"/>
    <n v="0.8571428571428571"/>
    <n v="4335.84"/>
    <n v="1"/>
    <n v="3.9900000000000005E-2"/>
  </r>
  <r>
    <x v="8"/>
    <x v="1"/>
    <x v="1"/>
    <n v="37"/>
    <n v="17"/>
    <n v="378.61"/>
    <n v="10"/>
    <n v="0.58823529411764708"/>
    <n v="1295.07"/>
    <n v="3"/>
    <n v="5.6299999999999996E-2"/>
  </r>
  <r>
    <x v="9"/>
    <x v="1"/>
    <x v="1"/>
    <n v="68"/>
    <n v="16"/>
    <n v="299.58999999999997"/>
    <n v="9"/>
    <n v="0.5625"/>
    <n v="979.47"/>
    <n v="2"/>
    <n v="3.6900000000000002E-2"/>
  </r>
  <r>
    <x v="10"/>
    <x v="1"/>
    <x v="1"/>
    <n v="20"/>
    <n v="9"/>
    <n v="202.4"/>
    <n v="7"/>
    <n v="0.77777777777777779"/>
    <n v="732.99"/>
    <n v="1"/>
    <n v="7.9000000000000001E-2"/>
  </r>
  <r>
    <x v="11"/>
    <x v="1"/>
    <x v="1"/>
    <n v="35"/>
    <n v="6"/>
    <n v="568.38"/>
    <n v="6"/>
    <n v="1"/>
    <n v="3949.69"/>
    <n v="1"/>
    <n v="3.7499999999999999E-2"/>
  </r>
  <r>
    <x v="12"/>
    <x v="1"/>
    <x v="1"/>
    <n v="68"/>
    <n v="21"/>
    <n v="553.08000000000004"/>
    <n v="3"/>
    <n v="0.14285714285714285"/>
    <n v="360.7"/>
    <n v="3"/>
    <n v="3.3399999999999999E-2"/>
  </r>
  <r>
    <x v="13"/>
    <x v="1"/>
    <x v="1"/>
    <n v="30"/>
    <n v="8"/>
    <n v="223.22"/>
    <n v="2"/>
    <n v="0.25"/>
    <n v="3595.12"/>
    <n v="2"/>
    <n v="4.3400000000000001E-2"/>
  </r>
  <r>
    <x v="14"/>
    <x v="1"/>
    <x v="1"/>
    <n v="69"/>
    <n v="8"/>
    <n v="199.93"/>
    <n v="2"/>
    <n v="0.25"/>
    <n v="610.66"/>
    <n v="1"/>
    <n v="2.8199999999999999E-2"/>
  </r>
  <r>
    <x v="15"/>
    <x v="1"/>
    <x v="1"/>
    <n v="92"/>
    <n v="6"/>
    <n v="180.46"/>
    <n v="5"/>
    <n v="0.83333333333333337"/>
    <n v="1173.27"/>
    <n v="3"/>
    <n v="7.5300000000000006E-2"/>
  </r>
  <r>
    <x v="16"/>
    <x v="1"/>
    <x v="1"/>
    <n v="92"/>
    <n v="7"/>
    <n v="80.12"/>
    <n v="6"/>
    <n v="0.8571428571428571"/>
    <n v="3794.02"/>
    <n v="2"/>
    <n v="9.5000000000000001E-2"/>
  </r>
  <r>
    <x v="17"/>
    <x v="1"/>
    <x v="1"/>
    <n v="21"/>
    <n v="14"/>
    <n v="563.79"/>
    <n v="8"/>
    <n v="0.5714285714285714"/>
    <n v="3616.21"/>
    <n v="1"/>
    <n v="3.61E-2"/>
  </r>
  <r>
    <x v="18"/>
    <x v="1"/>
    <x v="1"/>
    <n v="83"/>
    <n v="20"/>
    <n v="193.39"/>
    <n v="5"/>
    <n v="0.25"/>
    <n v="402.53"/>
    <n v="3"/>
    <n v="0.1013"/>
  </r>
  <r>
    <x v="19"/>
    <x v="1"/>
    <x v="1"/>
    <n v="57"/>
    <n v="11"/>
    <n v="454.77"/>
    <n v="1"/>
    <n v="9.0909090909090912E-2"/>
    <n v="1152.4100000000001"/>
    <n v="2"/>
    <n v="1E-3"/>
  </r>
  <r>
    <x v="20"/>
    <x v="1"/>
    <x v="1"/>
    <n v="22"/>
    <n v="17"/>
    <n v="291.97000000000003"/>
    <n v="1"/>
    <n v="5.8823529411764705E-2"/>
    <n v="1703.6"/>
    <n v="1"/>
    <n v="5.21E-2"/>
  </r>
  <r>
    <x v="21"/>
    <x v="1"/>
    <x v="1"/>
    <n v="78"/>
    <n v="5"/>
    <n v="553.86"/>
    <n v="1"/>
    <n v="0.2"/>
    <n v="3503.57"/>
    <n v="3"/>
    <n v="3.1300000000000001E-2"/>
  </r>
  <r>
    <x v="22"/>
    <x v="1"/>
    <x v="1"/>
    <n v="68"/>
    <n v="7"/>
    <n v="171.76"/>
    <n v="7"/>
    <n v="1"/>
    <n v="548.36"/>
    <n v="2"/>
    <n v="8.2500000000000004E-2"/>
  </r>
  <r>
    <x v="23"/>
    <x v="1"/>
    <x v="1"/>
    <n v="83"/>
    <n v="16"/>
    <n v="382.21"/>
    <n v="1"/>
    <n v="6.25E-2"/>
    <n v="3017.43"/>
    <n v="3"/>
    <n v="2.4199999999999999E-2"/>
  </r>
  <r>
    <x v="24"/>
    <x v="1"/>
    <x v="1"/>
    <n v="31"/>
    <n v="11"/>
    <n v="562.73"/>
    <n v="4"/>
    <n v="0.36363636363636365"/>
    <n v="221.94"/>
    <n v="2"/>
    <n v="6.7400000000000002E-2"/>
  </r>
  <r>
    <x v="25"/>
    <x v="1"/>
    <x v="1"/>
    <n v="34"/>
    <n v="17"/>
    <n v="380.37"/>
    <n v="7"/>
    <n v="0.41176470588235292"/>
    <n v="4183.2700000000004"/>
    <n v="1"/>
    <n v="8.8699999999999987E-2"/>
  </r>
  <r>
    <x v="0"/>
    <x v="1"/>
    <x v="2"/>
    <n v="55"/>
    <n v="17"/>
    <n v="315.62"/>
    <n v="5"/>
    <n v="0.29411764705882354"/>
    <n v="3890.73"/>
    <n v="3"/>
    <n v="2.8799999999999999E-2"/>
  </r>
  <r>
    <x v="1"/>
    <x v="1"/>
    <x v="2"/>
    <n v="91"/>
    <n v="10"/>
    <n v="361.58"/>
    <n v="4"/>
    <n v="0.4"/>
    <n v="3674.37"/>
    <n v="2"/>
    <n v="4.0800000000000003E-2"/>
  </r>
  <r>
    <x v="2"/>
    <x v="1"/>
    <x v="2"/>
    <n v="59"/>
    <n v="13"/>
    <n v="402.9"/>
    <n v="2"/>
    <n v="0.15384615384615385"/>
    <n v="3357.27"/>
    <n v="1"/>
    <n v="4.2599999999999999E-2"/>
  </r>
  <r>
    <x v="3"/>
    <x v="1"/>
    <x v="2"/>
    <n v="19"/>
    <n v="6"/>
    <n v="82.65"/>
    <n v="3"/>
    <n v="0.5"/>
    <n v="1469.62"/>
    <n v="3"/>
    <n v="3.0699999999999998E-2"/>
  </r>
  <r>
    <x v="4"/>
    <x v="1"/>
    <x v="2"/>
    <n v="77"/>
    <n v="14"/>
    <n v="494.43"/>
    <n v="4"/>
    <n v="0.2857142857142857"/>
    <n v="963.35"/>
    <n v="2"/>
    <n v="3.6699999999999997E-2"/>
  </r>
  <r>
    <x v="5"/>
    <x v="1"/>
    <x v="2"/>
    <n v="50"/>
    <n v="8"/>
    <n v="512.92999999999995"/>
    <n v="3"/>
    <n v="0.375"/>
    <n v="3725.66"/>
    <n v="1"/>
    <n v="1.1599999999999999E-2"/>
  </r>
  <r>
    <x v="6"/>
    <x v="1"/>
    <x v="2"/>
    <n v="88"/>
    <n v="18"/>
    <n v="291.04000000000002"/>
    <n v="2"/>
    <n v="0.1111111111111111"/>
    <n v="2619.84"/>
    <n v="3"/>
    <n v="0.10550000000000001"/>
  </r>
  <r>
    <x v="7"/>
    <x v="1"/>
    <x v="2"/>
    <n v="62"/>
    <n v="9"/>
    <n v="252.77"/>
    <n v="7"/>
    <n v="0.77777777777777779"/>
    <n v="4641.6099999999997"/>
    <n v="2"/>
    <n v="4.0800000000000003E-2"/>
  </r>
  <r>
    <x v="8"/>
    <x v="1"/>
    <x v="2"/>
    <n v="33"/>
    <n v="18"/>
    <n v="348.57"/>
    <n v="8"/>
    <n v="0.44444444444444442"/>
    <n v="1169.6400000000001"/>
    <n v="1"/>
    <n v="5.4800000000000001E-2"/>
  </r>
  <r>
    <x v="9"/>
    <x v="1"/>
    <x v="2"/>
    <n v="54"/>
    <n v="15"/>
    <n v="321.99"/>
    <n v="8"/>
    <n v="0.53333333333333333"/>
    <n v="1080.0899999999999"/>
    <n v="1"/>
    <n v="3.5499999999999997E-2"/>
  </r>
  <r>
    <x v="10"/>
    <x v="1"/>
    <x v="2"/>
    <n v="16"/>
    <n v="9"/>
    <n v="199.87"/>
    <n v="9"/>
    <n v="1"/>
    <n v="818.64"/>
    <n v="3"/>
    <n v="7.46E-2"/>
  </r>
  <r>
    <x v="11"/>
    <x v="1"/>
    <x v="2"/>
    <n v="30"/>
    <n v="5"/>
    <n v="565.19000000000005"/>
    <n v="4"/>
    <n v="0.8"/>
    <n v="3621.51"/>
    <n v="2"/>
    <n v="4.3099999999999999E-2"/>
  </r>
  <r>
    <x v="12"/>
    <x v="1"/>
    <x v="2"/>
    <n v="68"/>
    <n v="19"/>
    <n v="623.25"/>
    <n v="3"/>
    <n v="0.15789473684210525"/>
    <n v="355.96"/>
    <n v="1"/>
    <n v="3.6299999999999999E-2"/>
  </r>
  <r>
    <x v="13"/>
    <x v="1"/>
    <x v="2"/>
    <n v="31"/>
    <n v="9"/>
    <n v="209.18"/>
    <n v="2"/>
    <n v="0.22222222222222221"/>
    <n v="4153.3100000000004"/>
    <n v="3"/>
    <n v="4.0399999999999998E-2"/>
  </r>
  <r>
    <x v="14"/>
    <x v="1"/>
    <x v="2"/>
    <n v="61"/>
    <n v="7"/>
    <n v="190.5"/>
    <n v="3"/>
    <n v="0.42857142857142855"/>
    <n v="661.2"/>
    <n v="2"/>
    <n v="2.7699999999999999E-2"/>
  </r>
  <r>
    <x v="15"/>
    <x v="1"/>
    <x v="2"/>
    <n v="83"/>
    <n v="5"/>
    <n v="170.12"/>
    <n v="3"/>
    <n v="0.6"/>
    <n v="1171.95"/>
    <n v="1"/>
    <n v="7.690000000000001E-2"/>
  </r>
  <r>
    <x v="16"/>
    <x v="1"/>
    <x v="2"/>
    <n v="74"/>
    <n v="7"/>
    <n v="87.89"/>
    <n v="7"/>
    <n v="1"/>
    <n v="3848.14"/>
    <n v="3"/>
    <n v="8.6699999999999999E-2"/>
  </r>
  <r>
    <x v="17"/>
    <x v="1"/>
    <x v="2"/>
    <n v="21"/>
    <n v="14"/>
    <n v="498.82"/>
    <n v="5"/>
    <n v="0.35714285714285715"/>
    <n v="4039.26"/>
    <n v="2"/>
    <n v="3.4000000000000002E-2"/>
  </r>
  <r>
    <x v="18"/>
    <x v="2"/>
    <x v="2"/>
    <n v="84"/>
    <n v="15"/>
    <n v="163.21"/>
    <n v="5"/>
    <n v="0.33333333333333331"/>
    <n v="411.36"/>
    <n v="1"/>
    <n v="0.1014"/>
  </r>
  <r>
    <x v="19"/>
    <x v="2"/>
    <x v="2"/>
    <n v="64"/>
    <n v="13"/>
    <n v="496.4"/>
    <n v="0"/>
    <n v="0"/>
    <n v="1306.3800000000001"/>
    <n v="3"/>
    <n v="1.1000000000000001E-3"/>
  </r>
  <r>
    <x v="20"/>
    <x v="2"/>
    <x v="2"/>
    <n v="21"/>
    <n v="13"/>
    <n v="315.41000000000003"/>
    <n v="1"/>
    <n v="7.6923076923076927E-2"/>
    <n v="1692.59"/>
    <n v="2"/>
    <n v="5.0999999999999997E-2"/>
  </r>
  <r>
    <x v="21"/>
    <x v="2"/>
    <x v="2"/>
    <n v="110"/>
    <n v="6"/>
    <n v="535.37"/>
    <n v="2"/>
    <n v="0.33333333333333331"/>
    <n v="3113.29"/>
    <n v="1"/>
    <n v="3.2099999999999997E-2"/>
  </r>
  <r>
    <x v="22"/>
    <x v="2"/>
    <x v="2"/>
    <n v="62"/>
    <n v="8"/>
    <n v="198.84"/>
    <n v="8"/>
    <n v="1"/>
    <n v="534.58000000000004"/>
    <n v="3"/>
    <n v="8.8000000000000009E-2"/>
  </r>
  <r>
    <x v="23"/>
    <x v="2"/>
    <x v="2"/>
    <n v="108"/>
    <n v="14"/>
    <n v="416.78"/>
    <n v="1"/>
    <n v="7.1428571428571425E-2"/>
    <n v="2989.69"/>
    <n v="2"/>
    <n v="2.5499999999999998E-2"/>
  </r>
  <r>
    <x v="24"/>
    <x v="2"/>
    <x v="2"/>
    <n v="28"/>
    <n v="12"/>
    <n v="533.85"/>
    <n v="5"/>
    <n v="0.41666666666666669"/>
    <n v="224.87"/>
    <n v="1"/>
    <n v="6.480000000000001E-2"/>
  </r>
  <r>
    <x v="25"/>
    <x v="2"/>
    <x v="2"/>
    <n v="39"/>
    <n v="16"/>
    <n v="312.8"/>
    <n v="8"/>
    <n v="0.5"/>
    <n v="4592.09"/>
    <n v="3"/>
    <n v="8.5500000000000007E-2"/>
  </r>
  <r>
    <x v="0"/>
    <x v="2"/>
    <x v="3"/>
    <n v="69"/>
    <n v="17"/>
    <n v="342.81"/>
    <n v="6"/>
    <n v="0.35294117647058826"/>
    <n v="3728.2"/>
    <n v="2"/>
    <n v="2.9600000000000001E-2"/>
  </r>
  <r>
    <x v="1"/>
    <x v="2"/>
    <x v="3"/>
    <n v="83"/>
    <n v="11"/>
    <n v="365.12"/>
    <n v="5"/>
    <n v="0.45454545454545453"/>
    <n v="3682.69"/>
    <n v="1"/>
    <n v="3.8199999999999998E-2"/>
  </r>
  <r>
    <x v="2"/>
    <x v="2"/>
    <x v="3"/>
    <n v="41"/>
    <n v="14"/>
    <n v="416.88"/>
    <n v="2"/>
    <n v="0.14285714285714285"/>
    <n v="3638.83"/>
    <n v="3"/>
    <n v="4.41E-2"/>
  </r>
  <r>
    <x v="3"/>
    <x v="2"/>
    <x v="3"/>
    <n v="17"/>
    <n v="7"/>
    <n v="81.14"/>
    <n v="3"/>
    <n v="0.42857142857142855"/>
    <n v="1419.04"/>
    <n v="2"/>
    <n v="2.9399999999999999E-2"/>
  </r>
  <r>
    <x v="4"/>
    <x v="2"/>
    <x v="3"/>
    <n v="76"/>
    <n v="16"/>
    <n v="449.04"/>
    <n v="4"/>
    <n v="0.25"/>
    <n v="1019.97"/>
    <n v="1"/>
    <n v="3.8100000000000002E-2"/>
  </r>
  <r>
    <x v="5"/>
    <x v="2"/>
    <x v="3"/>
    <n v="72"/>
    <n v="6"/>
    <n v="508.55"/>
    <n v="3"/>
    <n v="0.5"/>
    <n v="3633.75"/>
    <n v="3"/>
    <n v="1.1399999999999999E-2"/>
  </r>
  <r>
    <x v="6"/>
    <x v="2"/>
    <x v="3"/>
    <n v="72"/>
    <n v="18"/>
    <n v="299.08999999999997"/>
    <n v="2"/>
    <n v="0.1111111111111111"/>
    <n v="2378.29"/>
    <n v="2"/>
    <n v="0.1052"/>
  </r>
  <r>
    <x v="7"/>
    <x v="2"/>
    <x v="3"/>
    <n v="44"/>
    <n v="6"/>
    <n v="246.21"/>
    <n v="5"/>
    <n v="0.83333333333333337"/>
    <n v="4155.8"/>
    <n v="1"/>
    <n v="4.3299999999999998E-2"/>
  </r>
  <r>
    <x v="8"/>
    <x v="2"/>
    <x v="3"/>
    <n v="29"/>
    <n v="16"/>
    <n v="412.07"/>
    <n v="10"/>
    <n v="0.625"/>
    <n v="1075.94"/>
    <n v="1"/>
    <n v="6.2400000000000004E-2"/>
  </r>
  <r>
    <x v="9"/>
    <x v="2"/>
    <x v="3"/>
    <n v="64"/>
    <n v="13"/>
    <n v="317.58"/>
    <n v="8"/>
    <n v="0.61538461538461542"/>
    <n v="1088.22"/>
    <n v="3"/>
    <n v="3.49E-2"/>
  </r>
  <r>
    <x v="10"/>
    <x v="2"/>
    <x v="3"/>
    <n v="16"/>
    <n v="7"/>
    <n v="181.58"/>
    <n v="6"/>
    <n v="0.8571428571428571"/>
    <n v="868.4"/>
    <n v="2"/>
    <n v="8.4100000000000008E-2"/>
  </r>
  <r>
    <x v="11"/>
    <x v="2"/>
    <x v="3"/>
    <n v="37"/>
    <n v="7"/>
    <n v="470.85"/>
    <n v="7"/>
    <n v="1"/>
    <n v="3483.6"/>
    <n v="1"/>
    <n v="4.2599999999999999E-2"/>
  </r>
  <r>
    <x v="12"/>
    <x v="2"/>
    <x v="3"/>
    <n v="81"/>
    <n v="16"/>
    <n v="584.29999999999995"/>
    <n v="3"/>
    <n v="0.1875"/>
    <n v="377.45"/>
    <n v="3"/>
    <n v="3.32E-2"/>
  </r>
  <r>
    <x v="13"/>
    <x v="2"/>
    <x v="3"/>
    <n v="26"/>
    <n v="6"/>
    <n v="231.59"/>
    <n v="2"/>
    <n v="0.33333333333333331"/>
    <n v="3988.15"/>
    <n v="2"/>
    <n v="3.8399999999999997E-2"/>
  </r>
  <r>
    <x v="14"/>
    <x v="3"/>
    <x v="3"/>
    <n v="69"/>
    <n v="9"/>
    <n v="221.01"/>
    <n v="3"/>
    <n v="0.33333333333333331"/>
    <n v="643.44000000000005"/>
    <n v="1"/>
    <n v="3.2000000000000001E-2"/>
  </r>
  <r>
    <x v="15"/>
    <x v="3"/>
    <x v="3"/>
    <n v="103"/>
    <n v="6"/>
    <n v="165.74"/>
    <n v="6"/>
    <n v="1"/>
    <n v="1169.3800000000001"/>
    <n v="3"/>
    <n v="7.7699999999999991E-2"/>
  </r>
  <r>
    <x v="16"/>
    <x v="3"/>
    <x v="3"/>
    <n v="100"/>
    <n v="7"/>
    <n v="82.62"/>
    <n v="6"/>
    <n v="0.8571428571428571"/>
    <n v="4085.91"/>
    <n v="2"/>
    <n v="9.0500000000000011E-2"/>
  </r>
  <r>
    <x v="17"/>
    <x v="3"/>
    <x v="3"/>
    <n v="26"/>
    <n v="17"/>
    <n v="526.34"/>
    <n v="6"/>
    <n v="0.35294117647058826"/>
    <n v="3360.11"/>
    <n v="1"/>
    <n v="3.0600000000000002E-2"/>
  </r>
  <r>
    <x v="18"/>
    <x v="3"/>
    <x v="3"/>
    <n v="104"/>
    <n v="22"/>
    <n v="190.87"/>
    <n v="4"/>
    <n v="0.18181818181818182"/>
    <n v="433.41"/>
    <n v="3"/>
    <n v="9.3599999999999989E-2"/>
  </r>
  <r>
    <x v="19"/>
    <x v="3"/>
    <x v="3"/>
    <n v="63"/>
    <n v="11"/>
    <n v="554.51"/>
    <n v="1"/>
    <n v="9.0909090909090912E-2"/>
    <n v="1138.51"/>
    <n v="2"/>
    <n v="1E-3"/>
  </r>
  <r>
    <x v="20"/>
    <x v="3"/>
    <x v="3"/>
    <n v="22"/>
    <n v="13"/>
    <n v="302.49"/>
    <n v="2"/>
    <n v="0.15384615384615385"/>
    <n v="1591.45"/>
    <n v="3"/>
    <n v="4.9599999999999998E-2"/>
  </r>
  <r>
    <x v="21"/>
    <x v="3"/>
    <x v="3"/>
    <n v="91"/>
    <n v="5"/>
    <n v="605.11"/>
    <n v="2"/>
    <n v="0.4"/>
    <n v="3499.88"/>
    <n v="2"/>
    <n v="3.0200000000000001E-2"/>
  </r>
  <r>
    <x v="22"/>
    <x v="3"/>
    <x v="3"/>
    <n v="77"/>
    <n v="8"/>
    <n v="173.88"/>
    <n v="6"/>
    <n v="0.75"/>
    <n v="462.44"/>
    <n v="1"/>
    <n v="7.9899999999999999E-2"/>
  </r>
  <r>
    <x v="23"/>
    <x v="3"/>
    <x v="3"/>
    <n v="90"/>
    <n v="17"/>
    <n v="366.84"/>
    <n v="0"/>
    <n v="0"/>
    <n v="3153.56"/>
    <n v="3"/>
    <n v="2.4500000000000001E-2"/>
  </r>
  <r>
    <x v="24"/>
    <x v="3"/>
    <x v="3"/>
    <n v="33"/>
    <n v="9"/>
    <n v="578.41999999999996"/>
    <n v="4"/>
    <n v="0.44444444444444442"/>
    <n v="229.72"/>
    <n v="2"/>
    <n v="7.46E-2"/>
  </r>
  <r>
    <x v="25"/>
    <x v="3"/>
    <x v="3"/>
    <n v="42"/>
    <n v="14"/>
    <n v="321.29000000000002"/>
    <n v="7"/>
    <n v="0.5"/>
    <n v="4298.2700000000004"/>
    <n v="1"/>
    <n v="7.4499999999999997E-2"/>
  </r>
  <r>
    <x v="0"/>
    <x v="3"/>
    <x v="4"/>
    <n v="69"/>
    <n v="16"/>
    <n v="299.22000000000003"/>
    <n v="6"/>
    <n v="0.375"/>
    <n v="3716.14"/>
    <n v="3"/>
    <n v="2.63E-2"/>
  </r>
  <r>
    <x v="1"/>
    <x v="3"/>
    <x v="4"/>
    <n v="68"/>
    <n v="11"/>
    <n v="345.62"/>
    <n v="4"/>
    <n v="0.36363636363636365"/>
    <n v="3558.13"/>
    <n v="2"/>
    <n v="4.0800000000000003E-2"/>
  </r>
  <r>
    <x v="2"/>
    <x v="3"/>
    <x v="4"/>
    <n v="45"/>
    <n v="17"/>
    <n v="416.96"/>
    <n v="3"/>
    <n v="0.17647058823529413"/>
    <n v="3327.07"/>
    <n v="1"/>
    <n v="4.0999999999999995E-2"/>
  </r>
  <r>
    <x v="3"/>
    <x v="3"/>
    <x v="4"/>
    <n v="17"/>
    <n v="8"/>
    <n v="72.05"/>
    <n v="3"/>
    <n v="0.375"/>
    <n v="1672.82"/>
    <n v="3"/>
    <n v="3.0299999999999997E-2"/>
  </r>
  <r>
    <x v="4"/>
    <x v="3"/>
    <x v="4"/>
    <n v="85"/>
    <n v="13"/>
    <n v="475.61"/>
    <n v="5"/>
    <n v="0.38461538461538464"/>
    <n v="939.32"/>
    <n v="2"/>
    <n v="3.6400000000000002E-2"/>
  </r>
  <r>
    <x v="5"/>
    <x v="3"/>
    <x v="4"/>
    <n v="49"/>
    <n v="7"/>
    <n v="469.53"/>
    <n v="3"/>
    <n v="0.42857142857142855"/>
    <n v="3623.32"/>
    <n v="1"/>
    <n v="1.21E-2"/>
  </r>
  <r>
    <x v="6"/>
    <x v="3"/>
    <x v="4"/>
    <n v="66"/>
    <n v="15"/>
    <n v="333.1"/>
    <n v="2"/>
    <n v="0.13333333333333333"/>
    <n v="2631.58"/>
    <n v="1"/>
    <n v="0.10249999999999999"/>
  </r>
  <r>
    <x v="7"/>
    <x v="3"/>
    <x v="4"/>
    <n v="63"/>
    <n v="9"/>
    <n v="258.11"/>
    <n v="7"/>
    <n v="0.77777777777777779"/>
    <n v="4064.36"/>
    <n v="3"/>
    <n v="4.1599999999999998E-2"/>
  </r>
  <r>
    <x v="8"/>
    <x v="3"/>
    <x v="4"/>
    <n v="31"/>
    <n v="20"/>
    <n v="400.8"/>
    <n v="8"/>
    <n v="0.4"/>
    <n v="1294.3599999999999"/>
    <n v="2"/>
    <n v="5.6399999999999999E-2"/>
  </r>
  <r>
    <x v="9"/>
    <x v="3"/>
    <x v="4"/>
    <n v="75"/>
    <n v="19"/>
    <n v="343.28"/>
    <n v="9"/>
    <n v="0.47368421052631576"/>
    <n v="899.46"/>
    <n v="1"/>
    <n v="3.2199999999999999E-2"/>
  </r>
  <r>
    <x v="10"/>
    <x v="3"/>
    <x v="4"/>
    <n v="18"/>
    <n v="7"/>
    <n v="204.63"/>
    <n v="7"/>
    <n v="1"/>
    <n v="789.77"/>
    <n v="3"/>
    <n v="7.4499999999999997E-2"/>
  </r>
  <r>
    <x v="11"/>
    <x v="3"/>
    <x v="4"/>
    <n v="35"/>
    <n v="6"/>
    <n v="553.11"/>
    <n v="4"/>
    <n v="0.66666666666666663"/>
    <n v="3867.67"/>
    <n v="2"/>
    <n v="3.8300000000000001E-2"/>
  </r>
  <r>
    <x v="12"/>
    <x v="3"/>
    <x v="4"/>
    <n v="74"/>
    <n v="20"/>
    <n v="623.33000000000004"/>
    <n v="2"/>
    <n v="0.1"/>
    <n v="359.97"/>
    <n v="1"/>
    <n v="3.8399999999999997E-2"/>
  </r>
  <r>
    <x v="13"/>
    <x v="3"/>
    <x v="4"/>
    <n v="26"/>
    <n v="7"/>
    <n v="200.45"/>
    <n v="1"/>
    <n v="0.14285714285714285"/>
    <n v="3797.35"/>
    <n v="3"/>
    <n v="4.1399999999999999E-2"/>
  </r>
  <r>
    <x v="14"/>
    <x v="3"/>
    <x v="4"/>
    <n v="50"/>
    <n v="7"/>
    <n v="196.2"/>
    <n v="2"/>
    <n v="0.2857142857142857"/>
    <n v="592.71"/>
    <n v="2"/>
    <n v="2.76E-2"/>
  </r>
  <r>
    <x v="15"/>
    <x v="3"/>
    <x v="4"/>
    <n v="97"/>
    <n v="5"/>
    <n v="185.62"/>
    <n v="4"/>
    <n v="0.8"/>
    <n v="1282.81"/>
    <n v="1"/>
    <n v="7.22E-2"/>
  </r>
  <r>
    <x v="16"/>
    <x v="3"/>
    <x v="4"/>
    <n v="91"/>
    <n v="7"/>
    <n v="89.39"/>
    <n v="6"/>
    <n v="0.8571428571428571"/>
    <n v="3971.59"/>
    <n v="3"/>
    <n v="9.0700000000000003E-2"/>
  </r>
  <r>
    <x v="17"/>
    <x v="3"/>
    <x v="4"/>
    <n v="21"/>
    <n v="14"/>
    <n v="472.79"/>
    <n v="8"/>
    <n v="0.5714285714285714"/>
    <n v="3830.32"/>
    <n v="2"/>
    <n v="3.5200000000000002E-2"/>
  </r>
  <r>
    <x v="18"/>
    <x v="3"/>
    <x v="4"/>
    <n v="91"/>
    <n v="15"/>
    <n v="173.03"/>
    <n v="4"/>
    <n v="0.26666666666666666"/>
    <n v="386.08"/>
    <n v="1"/>
    <n v="9.820000000000001E-2"/>
  </r>
  <r>
    <x v="19"/>
    <x v="3"/>
    <x v="4"/>
    <n v="67"/>
    <n v="15"/>
    <n v="499.68"/>
    <n v="0"/>
    <n v="0"/>
    <n v="1287.1300000000001"/>
    <n v="3"/>
    <n v="1E-3"/>
  </r>
  <r>
    <x v="20"/>
    <x v="3"/>
    <x v="4"/>
    <n v="19"/>
    <n v="13"/>
    <n v="316.23"/>
    <n v="1"/>
    <n v="7.6923076923076927E-2"/>
    <n v="1598.49"/>
    <n v="2"/>
    <n v="5.8299999999999998E-2"/>
  </r>
  <r>
    <x v="21"/>
    <x v="3"/>
    <x v="4"/>
    <n v="105"/>
    <n v="6"/>
    <n v="567.03"/>
    <n v="1"/>
    <n v="0.16666666666666666"/>
    <n v="3496.65"/>
    <n v="1"/>
    <n v="3.0600000000000002E-2"/>
  </r>
  <r>
    <x v="22"/>
    <x v="3"/>
    <x v="4"/>
    <n v="73"/>
    <n v="8"/>
    <n v="175.52"/>
    <n v="7"/>
    <n v="0.875"/>
    <n v="455.32"/>
    <n v="3"/>
    <n v="9.35E-2"/>
  </r>
  <r>
    <x v="23"/>
    <x v="3"/>
    <x v="4"/>
    <n v="111"/>
    <n v="13"/>
    <n v="358.31"/>
    <n v="0"/>
    <n v="0"/>
    <n v="2811.77"/>
    <n v="2"/>
    <n v="2.7099999999999999E-2"/>
  </r>
  <r>
    <x v="24"/>
    <x v="3"/>
    <x v="4"/>
    <n v="38"/>
    <n v="12"/>
    <n v="556.33000000000004"/>
    <n v="4"/>
    <n v="0.33333333333333331"/>
    <n v="241.08"/>
    <n v="1"/>
    <n v="7.0599999999999996E-2"/>
  </r>
  <r>
    <x v="25"/>
    <x v="3"/>
    <x v="4"/>
    <n v="33"/>
    <n v="17"/>
    <n v="371.65"/>
    <n v="9"/>
    <n v="0.52941176470588236"/>
    <n v="4068.75"/>
    <n v="3"/>
    <n v="8.5500000000000007E-2"/>
  </r>
  <r>
    <x v="0"/>
    <x v="3"/>
    <x v="5"/>
    <n v="59"/>
    <n v="16"/>
    <n v="359.47"/>
    <n v="7"/>
    <n v="0.4375"/>
    <n v="3958.94"/>
    <n v="2"/>
    <n v="2.46E-2"/>
  </r>
  <r>
    <x v="1"/>
    <x v="3"/>
    <x v="5"/>
    <n v="71"/>
    <n v="11"/>
    <n v="379.33"/>
    <n v="4"/>
    <n v="0.36363636363636365"/>
    <n v="4003.52"/>
    <n v="1"/>
    <n v="4.2900000000000001E-2"/>
  </r>
  <r>
    <x v="2"/>
    <x v="3"/>
    <x v="5"/>
    <n v="48"/>
    <n v="14"/>
    <n v="383.94"/>
    <n v="3"/>
    <n v="0.21428571428571427"/>
    <n v="3173.36"/>
    <n v="3"/>
    <n v="4.0999999999999995E-2"/>
  </r>
  <r>
    <x v="3"/>
    <x v="3"/>
    <x v="5"/>
    <n v="18"/>
    <n v="7"/>
    <n v="85.32"/>
    <n v="3"/>
    <n v="0.42857142857142855"/>
    <n v="1431.69"/>
    <n v="2"/>
    <n v="3.1600000000000003E-2"/>
  </r>
  <r>
    <x v="4"/>
    <x v="3"/>
    <x v="5"/>
    <n v="93"/>
    <n v="14"/>
    <n v="466.81"/>
    <n v="5"/>
    <n v="0.35714285714285715"/>
    <n v="988.98"/>
    <n v="1"/>
    <n v="4.2300000000000004E-2"/>
  </r>
  <r>
    <x v="5"/>
    <x v="4"/>
    <x v="5"/>
    <n v="49"/>
    <n v="7"/>
    <n v="512.88"/>
    <n v="2"/>
    <n v="0.2857142857142857"/>
    <n v="3545.66"/>
    <n v="1"/>
    <n v="1.2699999999999999E-2"/>
  </r>
  <r>
    <x v="6"/>
    <x v="4"/>
    <x v="5"/>
    <n v="85"/>
    <n v="17"/>
    <n v="324.56"/>
    <n v="3"/>
    <n v="0.17647058823529413"/>
    <n v="2420.5300000000002"/>
    <n v="3"/>
    <n v="8.929999999999999E-2"/>
  </r>
  <r>
    <x v="7"/>
    <x v="4"/>
    <x v="5"/>
    <n v="61"/>
    <n v="7"/>
    <n v="219.53"/>
    <n v="7"/>
    <n v="1"/>
    <n v="3860.12"/>
    <n v="2"/>
    <n v="4.3499999999999997E-2"/>
  </r>
  <r>
    <x v="8"/>
    <x v="4"/>
    <x v="5"/>
    <n v="30"/>
    <n v="16"/>
    <n v="353.65"/>
    <n v="9"/>
    <n v="0.5625"/>
    <n v="1213.5899999999999"/>
    <n v="1"/>
    <n v="6.2E-2"/>
  </r>
  <r>
    <x v="9"/>
    <x v="4"/>
    <x v="5"/>
    <n v="54"/>
    <n v="16"/>
    <n v="334.41"/>
    <n v="9"/>
    <n v="0.5625"/>
    <n v="1056.98"/>
    <n v="3"/>
    <n v="3.5200000000000002E-2"/>
  </r>
  <r>
    <x v="10"/>
    <x v="4"/>
    <x v="5"/>
    <n v="19"/>
    <n v="7"/>
    <n v="199.46"/>
    <n v="7"/>
    <n v="1"/>
    <n v="809.56"/>
    <n v="2"/>
    <n v="7.1399999999999991E-2"/>
  </r>
  <r>
    <x v="11"/>
    <x v="4"/>
    <x v="5"/>
    <n v="40"/>
    <n v="6"/>
    <n v="509.67"/>
    <n v="4"/>
    <n v="0.66666666666666663"/>
    <n v="3330.44"/>
    <n v="1"/>
    <n v="3.8300000000000001E-2"/>
  </r>
  <r>
    <x v="12"/>
    <x v="4"/>
    <x v="5"/>
    <n v="73"/>
    <n v="21"/>
    <n v="601.02"/>
    <n v="2"/>
    <n v="9.5238095238095233E-2"/>
    <n v="364.56"/>
    <n v="3"/>
    <n v="3.4300000000000004E-2"/>
  </r>
  <r>
    <x v="13"/>
    <x v="4"/>
    <x v="5"/>
    <n v="36"/>
    <n v="9"/>
    <n v="196.74"/>
    <n v="1"/>
    <n v="0.1111111111111111"/>
    <n v="3760.57"/>
    <n v="2"/>
    <n v="3.9800000000000002E-2"/>
  </r>
  <r>
    <x v="14"/>
    <x v="4"/>
    <x v="5"/>
    <n v="58"/>
    <n v="8"/>
    <n v="196.58"/>
    <n v="3"/>
    <n v="0.375"/>
    <n v="692.47"/>
    <n v="1"/>
    <n v="3.27E-2"/>
  </r>
  <r>
    <x v="15"/>
    <x v="4"/>
    <x v="5"/>
    <n v="100"/>
    <n v="5"/>
    <n v="153.87"/>
    <n v="2"/>
    <n v="0.4"/>
    <n v="1190.24"/>
    <n v="3"/>
    <n v="8.0600000000000005E-2"/>
  </r>
  <r>
    <x v="16"/>
    <x v="4"/>
    <x v="5"/>
    <n v="93"/>
    <n v="5"/>
    <n v="85.65"/>
    <n v="5"/>
    <n v="1"/>
    <n v="3913.17"/>
    <n v="2"/>
    <n v="9.5700000000000007E-2"/>
  </r>
  <r>
    <x v="17"/>
    <x v="4"/>
    <x v="5"/>
    <n v="28"/>
    <n v="16"/>
    <n v="506.95"/>
    <n v="6"/>
    <n v="0.375"/>
    <n v="3993.03"/>
    <n v="3"/>
    <n v="3.0600000000000002E-2"/>
  </r>
  <r>
    <x v="18"/>
    <x v="4"/>
    <x v="5"/>
    <n v="88"/>
    <n v="18"/>
    <n v="181.21"/>
    <n v="4"/>
    <n v="0.22222222222222221"/>
    <n v="377.13"/>
    <n v="2"/>
    <n v="0.10009999999999999"/>
  </r>
  <r>
    <x v="19"/>
    <x v="4"/>
    <x v="5"/>
    <n v="69"/>
    <n v="16"/>
    <n v="495.32"/>
    <n v="0"/>
    <n v="0"/>
    <n v="1262.99"/>
    <n v="1"/>
    <n v="1E-3"/>
  </r>
  <r>
    <x v="20"/>
    <x v="4"/>
    <x v="5"/>
    <n v="21"/>
    <n v="16"/>
    <n v="315.91000000000003"/>
    <n v="1"/>
    <n v="6.25E-2"/>
    <n v="1455.83"/>
    <n v="3"/>
    <n v="5.1299999999999998E-2"/>
  </r>
  <r>
    <x v="21"/>
    <x v="4"/>
    <x v="5"/>
    <n v="92"/>
    <n v="5"/>
    <n v="569.75"/>
    <n v="2"/>
    <n v="0.4"/>
    <n v="3734.43"/>
    <n v="2"/>
    <n v="2.76E-2"/>
  </r>
  <r>
    <x v="22"/>
    <x v="4"/>
    <x v="5"/>
    <n v="58"/>
    <n v="7"/>
    <n v="173.24"/>
    <n v="7"/>
    <n v="1"/>
    <n v="525.73"/>
    <n v="1"/>
    <n v="8.2299999999999998E-2"/>
  </r>
  <r>
    <x v="23"/>
    <x v="4"/>
    <x v="5"/>
    <n v="114"/>
    <n v="13"/>
    <n v="364.35"/>
    <n v="0"/>
    <n v="0"/>
    <n v="2988.28"/>
    <n v="3"/>
    <n v="2.58E-2"/>
  </r>
  <r>
    <x v="24"/>
    <x v="4"/>
    <x v="5"/>
    <n v="35"/>
    <n v="12"/>
    <n v="515.24"/>
    <n v="5"/>
    <n v="0.41666666666666669"/>
    <n v="224.24"/>
    <n v="2"/>
    <n v="6.9800000000000001E-2"/>
  </r>
  <r>
    <x v="25"/>
    <x v="4"/>
    <x v="5"/>
    <n v="35"/>
    <n v="16"/>
    <n v="351.71"/>
    <n v="9"/>
    <n v="0.5625"/>
    <n v="3984.69"/>
    <n v="1"/>
    <n v="7.4099999999999999E-2"/>
  </r>
  <r>
    <x v="0"/>
    <x v="4"/>
    <x v="6"/>
    <n v="71"/>
    <n v="17"/>
    <n v="360.1"/>
    <n v="6"/>
    <n v="0.35294117647058826"/>
    <n v="4444.83"/>
    <n v="3"/>
    <n v="2.9500000000000002E-2"/>
  </r>
  <r>
    <x v="1"/>
    <x v="4"/>
    <x v="6"/>
    <n v="62"/>
    <n v="13"/>
    <n v="364.64"/>
    <n v="4"/>
    <n v="0.30769230769230771"/>
    <n v="3704.33"/>
    <n v="2"/>
    <n v="3.7499999999999999E-2"/>
  </r>
  <r>
    <x v="2"/>
    <x v="4"/>
    <x v="6"/>
    <n v="53"/>
    <n v="14"/>
    <n v="367.56"/>
    <n v="2"/>
    <n v="0.14285714285714285"/>
    <n v="3514.07"/>
    <n v="1"/>
    <n v="4.0099999999999997E-2"/>
  </r>
  <r>
    <x v="3"/>
    <x v="4"/>
    <x v="6"/>
    <n v="18"/>
    <n v="6"/>
    <n v="76.27"/>
    <n v="4"/>
    <n v="0.66666666666666663"/>
    <n v="1597.98"/>
    <n v="1"/>
    <n v="2.81E-2"/>
  </r>
  <r>
    <x v="4"/>
    <x v="4"/>
    <x v="6"/>
    <n v="71"/>
    <n v="12"/>
    <n v="487.04"/>
    <n v="5"/>
    <n v="0.41666666666666669"/>
    <n v="1004.9"/>
    <n v="3"/>
    <n v="4.2099999999999999E-2"/>
  </r>
  <r>
    <x v="5"/>
    <x v="4"/>
    <x v="6"/>
    <n v="70"/>
    <n v="5"/>
    <n v="491.31"/>
    <n v="3"/>
    <n v="0.6"/>
    <n v="3289.06"/>
    <n v="2"/>
    <n v="1.1299999999999999E-2"/>
  </r>
  <r>
    <x v="6"/>
    <x v="4"/>
    <x v="6"/>
    <n v="77"/>
    <n v="15"/>
    <n v="282.58999999999997"/>
    <n v="2"/>
    <n v="0.13333333333333333"/>
    <n v="2296.14"/>
    <n v="1"/>
    <n v="9.5799999999999996E-2"/>
  </r>
  <r>
    <x v="7"/>
    <x v="4"/>
    <x v="6"/>
    <n v="50"/>
    <n v="9"/>
    <n v="246.06"/>
    <n v="5"/>
    <n v="0.55555555555555558"/>
    <n v="4227.22"/>
    <n v="3"/>
    <n v="3.7200000000000004E-2"/>
  </r>
  <r>
    <x v="8"/>
    <x v="4"/>
    <x v="6"/>
    <n v="31"/>
    <n v="15"/>
    <n v="347.38"/>
    <n v="10"/>
    <n v="0.66666666666666663"/>
    <n v="1101.06"/>
    <n v="2"/>
    <n v="6.0100000000000001E-2"/>
  </r>
  <r>
    <x v="9"/>
    <x v="4"/>
    <x v="6"/>
    <n v="77"/>
    <n v="16"/>
    <n v="335.59"/>
    <n v="7"/>
    <n v="0.4375"/>
    <n v="1087.4100000000001"/>
    <n v="1"/>
    <n v="3.6900000000000002E-2"/>
  </r>
  <r>
    <x v="10"/>
    <x v="4"/>
    <x v="6"/>
    <n v="17"/>
    <n v="8"/>
    <n v="208.21"/>
    <n v="4"/>
    <n v="0.5"/>
    <n v="828.73"/>
    <n v="3"/>
    <n v="7.4200000000000002E-2"/>
  </r>
  <r>
    <x v="11"/>
    <x v="4"/>
    <x v="6"/>
    <n v="32"/>
    <n v="6"/>
    <n v="553.58000000000004"/>
    <n v="3"/>
    <n v="0.5"/>
    <n v="3939.56"/>
    <n v="2"/>
    <n v="3.78E-2"/>
  </r>
  <r>
    <x v="12"/>
    <x v="4"/>
    <x v="6"/>
    <n v="72"/>
    <n v="21"/>
    <n v="604.57000000000005"/>
    <n v="2"/>
    <n v="9.5238095238095233E-2"/>
    <n v="327.82"/>
    <n v="1"/>
    <n v="3.6699999999999997E-2"/>
  </r>
  <r>
    <x v="13"/>
    <x v="4"/>
    <x v="6"/>
    <n v="34"/>
    <n v="7"/>
    <n v="199.39"/>
    <n v="1"/>
    <n v="0.14285714285714285"/>
    <n v="3767.74"/>
    <n v="3"/>
    <n v="3.85E-2"/>
  </r>
  <r>
    <x v="14"/>
    <x v="4"/>
    <x v="6"/>
    <n v="71"/>
    <n v="9"/>
    <n v="220.4"/>
    <n v="2"/>
    <n v="0.22222222222222221"/>
    <n v="692.29"/>
    <n v="2"/>
    <n v="2.8999999999999998E-2"/>
  </r>
  <r>
    <x v="15"/>
    <x v="4"/>
    <x v="6"/>
    <n v="83"/>
    <n v="5"/>
    <n v="166.85"/>
    <n v="4"/>
    <n v="0.8"/>
    <n v="1364.24"/>
    <n v="1"/>
    <n v="8.3100000000000007E-2"/>
  </r>
  <r>
    <x v="16"/>
    <x v="4"/>
    <x v="6"/>
    <n v="71"/>
    <n v="7"/>
    <n v="78.53"/>
    <n v="4"/>
    <n v="0.5714285714285714"/>
    <n v="3652.64"/>
    <n v="3"/>
    <n v="8.6999999999999994E-2"/>
  </r>
  <r>
    <x v="17"/>
    <x v="4"/>
    <x v="6"/>
    <n v="24"/>
    <n v="13"/>
    <n v="471.72"/>
    <n v="7"/>
    <n v="0.53846153846153844"/>
    <n v="3588.89"/>
    <n v="2"/>
    <n v="3.5400000000000001E-2"/>
  </r>
  <r>
    <x v="18"/>
    <x v="4"/>
    <x v="6"/>
    <n v="75"/>
    <n v="17"/>
    <n v="176.07"/>
    <n v="5"/>
    <n v="0.29411764705882354"/>
    <n v="458.18"/>
    <n v="1"/>
    <n v="9.9399999999999988E-2"/>
  </r>
  <r>
    <x v="19"/>
    <x v="4"/>
    <x v="6"/>
    <n v="76"/>
    <n v="11"/>
    <n v="486.93"/>
    <n v="0"/>
    <n v="0"/>
    <n v="1219.29"/>
    <n v="3"/>
    <n v="1E-3"/>
  </r>
  <r>
    <x v="20"/>
    <x v="4"/>
    <x v="6"/>
    <n v="20"/>
    <n v="14"/>
    <n v="283.66000000000003"/>
    <n v="2"/>
    <n v="0.14285714285714285"/>
    <n v="1494.14"/>
    <n v="2"/>
    <n v="5.7800000000000004E-2"/>
  </r>
  <r>
    <x v="21"/>
    <x v="4"/>
    <x v="6"/>
    <n v="79"/>
    <n v="6"/>
    <n v="536.04999999999995"/>
    <n v="1"/>
    <n v="0.16666666666666666"/>
    <n v="3682.29"/>
    <n v="1"/>
    <n v="3.2099999999999997E-2"/>
  </r>
  <r>
    <x v="22"/>
    <x v="4"/>
    <x v="6"/>
    <n v="82"/>
    <n v="9"/>
    <n v="171.86"/>
    <n v="7"/>
    <n v="0.77777777777777779"/>
    <n v="506.88"/>
    <n v="3"/>
    <n v="9.4100000000000003E-2"/>
  </r>
  <r>
    <x v="23"/>
    <x v="4"/>
    <x v="6"/>
    <n v="103"/>
    <n v="15"/>
    <n v="359.16"/>
    <n v="1"/>
    <n v="6.6666666666666666E-2"/>
    <n v="2949.94"/>
    <n v="2"/>
    <n v="2.3599999999999999E-2"/>
  </r>
  <r>
    <x v="24"/>
    <x v="4"/>
    <x v="6"/>
    <n v="41"/>
    <n v="9"/>
    <n v="569.97"/>
    <n v="5"/>
    <n v="0.55555555555555558"/>
    <n v="259.86"/>
    <n v="1"/>
    <n v="6.3299999999999995E-2"/>
  </r>
  <r>
    <x v="25"/>
    <x v="4"/>
    <x v="6"/>
    <n v="38"/>
    <n v="14"/>
    <n v="359.22"/>
    <n v="8"/>
    <n v="0.5714285714285714"/>
    <n v="3846.34"/>
    <n v="3"/>
    <n v="8.5900000000000004E-2"/>
  </r>
  <r>
    <x v="0"/>
    <x v="4"/>
    <x v="7"/>
    <n v="71"/>
    <n v="15"/>
    <n v="297.05"/>
    <n v="6"/>
    <n v="0.4"/>
    <n v="4043.62"/>
    <n v="2"/>
    <n v="2.7200000000000002E-2"/>
  </r>
  <r>
    <x v="1"/>
    <x v="4"/>
    <x v="7"/>
    <n v="66"/>
    <n v="13"/>
    <n v="376.76"/>
    <n v="5"/>
    <n v="0.38461538461538464"/>
    <n v="3819.73"/>
    <n v="1"/>
    <n v="4.4900000000000002E-2"/>
  </r>
  <r>
    <x v="2"/>
    <x v="4"/>
    <x v="7"/>
    <n v="53"/>
    <n v="15"/>
    <n v="379.29"/>
    <n v="2"/>
    <n v="0.13333333333333333"/>
    <n v="3409.69"/>
    <n v="1"/>
    <n v="4.41E-2"/>
  </r>
  <r>
    <x v="3"/>
    <x v="4"/>
    <x v="7"/>
    <n v="18"/>
    <n v="8"/>
    <n v="82.91"/>
    <n v="3"/>
    <n v="0.375"/>
    <n v="1387.86"/>
    <n v="3"/>
    <n v="3.0099999999999998E-2"/>
  </r>
  <r>
    <x v="4"/>
    <x v="4"/>
    <x v="7"/>
    <n v="72"/>
    <n v="14"/>
    <n v="437.47"/>
    <n v="4"/>
    <n v="0.2857142857142857"/>
    <n v="958.02"/>
    <n v="2"/>
    <n v="3.9100000000000003E-2"/>
  </r>
  <r>
    <x v="5"/>
    <x v="4"/>
    <x v="7"/>
    <n v="64"/>
    <n v="7"/>
    <n v="554.20000000000005"/>
    <n v="2"/>
    <n v="0.2857142857142857"/>
    <n v="3620.9"/>
    <n v="1"/>
    <n v="1.23E-2"/>
  </r>
  <r>
    <x v="6"/>
    <x v="4"/>
    <x v="7"/>
    <n v="76"/>
    <n v="21"/>
    <n v="293.93"/>
    <n v="2"/>
    <n v="9.5238095238095233E-2"/>
    <n v="2531.4"/>
    <n v="3"/>
    <n v="0.1012"/>
  </r>
  <r>
    <x v="7"/>
    <x v="4"/>
    <x v="7"/>
    <n v="64"/>
    <n v="9"/>
    <n v="255.17"/>
    <n v="6"/>
    <n v="0.66666666666666663"/>
    <n v="4136.6899999999996"/>
    <n v="2"/>
    <n v="3.8199999999999998E-2"/>
  </r>
  <r>
    <x v="8"/>
    <x v="4"/>
    <x v="7"/>
    <n v="26"/>
    <n v="17"/>
    <n v="391.73"/>
    <n v="7"/>
    <n v="0.41176470588235292"/>
    <n v="1166.55"/>
    <n v="1"/>
    <n v="6.1200000000000004E-2"/>
  </r>
  <r>
    <x v="9"/>
    <x v="4"/>
    <x v="7"/>
    <n v="65"/>
    <n v="13"/>
    <n v="324.26"/>
    <n v="7"/>
    <n v="0.53846153846153844"/>
    <n v="1044.8599999999999"/>
    <n v="3"/>
    <n v="3.5200000000000002E-2"/>
  </r>
  <r>
    <x v="10"/>
    <x v="4"/>
    <x v="7"/>
    <n v="22"/>
    <n v="9"/>
    <n v="211.28"/>
    <n v="8"/>
    <n v="0.88888888888888884"/>
    <n v="772.77"/>
    <n v="2"/>
    <n v="8.0600000000000005E-2"/>
  </r>
  <r>
    <x v="11"/>
    <x v="4"/>
    <x v="7"/>
    <n v="30"/>
    <n v="6"/>
    <n v="549.26"/>
    <n v="2"/>
    <n v="0.33333333333333331"/>
    <n v="3868.36"/>
    <n v="1"/>
    <n v="4.2800000000000005E-2"/>
  </r>
  <r>
    <x v="12"/>
    <x v="4"/>
    <x v="7"/>
    <n v="83"/>
    <n v="15"/>
    <n v="601.05999999999995"/>
    <n v="3"/>
    <n v="0.2"/>
    <n v="350.62"/>
    <n v="3"/>
    <n v="3.6600000000000001E-2"/>
  </r>
  <r>
    <x v="13"/>
    <x v="4"/>
    <x v="7"/>
    <n v="35"/>
    <n v="6"/>
    <n v="192.19"/>
    <n v="1"/>
    <n v="0.16666666666666666"/>
    <n v="3963.32"/>
    <n v="2"/>
    <n v="3.9800000000000002E-2"/>
  </r>
  <r>
    <x v="14"/>
    <x v="4"/>
    <x v="7"/>
    <n v="73"/>
    <n v="8"/>
    <n v="191.76"/>
    <n v="3"/>
    <n v="0.375"/>
    <n v="675.97"/>
    <n v="3"/>
    <n v="3.0200000000000001E-2"/>
  </r>
  <r>
    <x v="15"/>
    <x v="4"/>
    <x v="7"/>
    <n v="104"/>
    <n v="4"/>
    <n v="169.75"/>
    <n v="3"/>
    <n v="0.75"/>
    <n v="1255.83"/>
    <n v="2"/>
    <n v="7.7600000000000002E-2"/>
  </r>
  <r>
    <x v="16"/>
    <x v="4"/>
    <x v="7"/>
    <n v="71"/>
    <n v="6"/>
    <n v="87.5"/>
    <n v="3"/>
    <n v="0.5"/>
    <n v="3666.64"/>
    <n v="1"/>
    <n v="9.1300000000000006E-2"/>
  </r>
  <r>
    <x v="17"/>
    <x v="4"/>
    <x v="7"/>
    <n v="22"/>
    <n v="14"/>
    <n v="477.3"/>
    <n v="6"/>
    <n v="0.42857142857142855"/>
    <n v="3790.05"/>
    <n v="3"/>
    <n v="3.32E-2"/>
  </r>
  <r>
    <x v="18"/>
    <x v="4"/>
    <x v="7"/>
    <n v="85"/>
    <n v="17"/>
    <n v="187.72"/>
    <n v="5"/>
    <n v="0.29411764705882354"/>
    <n v="443.22"/>
    <n v="2"/>
    <n v="0.1016"/>
  </r>
  <r>
    <x v="19"/>
    <x v="4"/>
    <x v="7"/>
    <n v="80"/>
    <n v="13"/>
    <n v="504.59"/>
    <n v="0"/>
    <n v="0"/>
    <n v="1265.47"/>
    <n v="1"/>
    <n v="1E-3"/>
  </r>
  <r>
    <x v="20"/>
    <x v="4"/>
    <x v="7"/>
    <n v="18"/>
    <n v="12"/>
    <n v="262.26"/>
    <n v="1"/>
    <n v="8.3333333333333329E-2"/>
    <n v="1573.7"/>
    <n v="3"/>
    <n v="5.1299999999999998E-2"/>
  </r>
  <r>
    <x v="21"/>
    <x v="4"/>
    <x v="7"/>
    <n v="106"/>
    <n v="6"/>
    <n v="572.16"/>
    <n v="2"/>
    <n v="0.33333333333333331"/>
    <n v="3398.37"/>
    <n v="2"/>
    <n v="2.87E-2"/>
  </r>
  <r>
    <x v="22"/>
    <x v="4"/>
    <x v="7"/>
    <n v="71"/>
    <n v="9"/>
    <n v="172.96"/>
    <n v="6"/>
    <n v="0.66666666666666663"/>
    <n v="464.49"/>
    <n v="1"/>
    <n v="8.2699999999999996E-2"/>
  </r>
  <r>
    <x v="23"/>
    <x v="4"/>
    <x v="7"/>
    <n v="115"/>
    <n v="17"/>
    <n v="422.48"/>
    <n v="0"/>
    <n v="0"/>
    <n v="2681.51"/>
    <n v="3"/>
    <n v="2.5000000000000001E-2"/>
  </r>
  <r>
    <x v="24"/>
    <x v="4"/>
    <x v="7"/>
    <n v="34"/>
    <n v="10"/>
    <n v="565.11"/>
    <n v="5"/>
    <n v="0.5"/>
    <n v="222.62"/>
    <n v="2"/>
    <n v="7.1800000000000003E-2"/>
  </r>
  <r>
    <x v="25"/>
    <x v="4"/>
    <x v="7"/>
    <n v="40"/>
    <n v="17"/>
    <n v="355.83"/>
    <n v="6"/>
    <n v="0.35294117647058826"/>
    <n v="4155.8599999999997"/>
    <n v="1"/>
    <n v="8.8000000000000009E-2"/>
  </r>
  <r>
    <x v="0"/>
    <x v="4"/>
    <x v="8"/>
    <n v="51"/>
    <n v="15"/>
    <n v="349.71"/>
    <n v="8"/>
    <n v="0.53333333333333333"/>
    <n v="4017.54"/>
    <n v="1"/>
    <n v="2.92E-2"/>
  </r>
  <r>
    <x v="1"/>
    <x v="4"/>
    <x v="8"/>
    <n v="79"/>
    <n v="9"/>
    <n v="358.67"/>
    <n v="5"/>
    <n v="0.55555555555555558"/>
    <n v="3658.64"/>
    <n v="3"/>
    <n v="3.7499999999999999E-2"/>
  </r>
  <r>
    <x v="2"/>
    <x v="4"/>
    <x v="8"/>
    <n v="57"/>
    <n v="18"/>
    <n v="403.41"/>
    <n v="3"/>
    <n v="0.16666666666666666"/>
    <n v="3767.63"/>
    <n v="2"/>
    <n v="4.24E-2"/>
  </r>
  <r>
    <x v="3"/>
    <x v="4"/>
    <x v="8"/>
    <n v="24"/>
    <n v="7"/>
    <n v="79.62"/>
    <n v="4"/>
    <n v="0.5714285714285714"/>
    <n v="1650.69"/>
    <n v="1"/>
    <n v="3.0600000000000002E-2"/>
  </r>
  <r>
    <x v="4"/>
    <x v="4"/>
    <x v="8"/>
    <n v="77"/>
    <n v="11"/>
    <n v="487.47"/>
    <n v="4"/>
    <n v="0.36363636363636365"/>
    <n v="990.89"/>
    <n v="3"/>
    <n v="4.3299999999999998E-2"/>
  </r>
  <r>
    <x v="5"/>
    <x v="4"/>
    <x v="8"/>
    <n v="69"/>
    <n v="7"/>
    <n v="549.77"/>
    <n v="2"/>
    <n v="0.2857142857142857"/>
    <n v="3916.58"/>
    <n v="2"/>
    <n v="1.2E-2"/>
  </r>
  <r>
    <x v="6"/>
    <x v="4"/>
    <x v="8"/>
    <n v="74"/>
    <n v="18"/>
    <n v="306.89999999999998"/>
    <n v="3"/>
    <n v="0.16666666666666666"/>
    <n v="2254.16"/>
    <n v="1"/>
    <n v="9.64E-2"/>
  </r>
  <r>
    <x v="7"/>
    <x v="4"/>
    <x v="8"/>
    <n v="57"/>
    <n v="7"/>
    <n v="262.27999999999997"/>
    <n v="7"/>
    <n v="1"/>
    <n v="3929.11"/>
    <n v="3"/>
    <n v="4.4299999999999999E-2"/>
  </r>
  <r>
    <x v="8"/>
    <x v="4"/>
    <x v="8"/>
    <n v="26"/>
    <n v="21"/>
    <n v="359.51"/>
    <n v="9"/>
    <n v="0.42857142857142855"/>
    <n v="1187.3699999999999"/>
    <n v="2"/>
    <n v="5.33E-2"/>
  </r>
  <r>
    <x v="9"/>
    <x v="4"/>
    <x v="8"/>
    <n v="76"/>
    <n v="18"/>
    <n v="339.1"/>
    <n v="8"/>
    <n v="0.44444444444444442"/>
    <n v="924.79"/>
    <n v="1"/>
    <n v="3.6000000000000004E-2"/>
  </r>
  <r>
    <x v="10"/>
    <x v="4"/>
    <x v="8"/>
    <n v="22"/>
    <n v="7"/>
    <n v="182.47"/>
    <n v="7"/>
    <n v="1"/>
    <n v="779.86"/>
    <n v="3"/>
    <n v="7.2700000000000001E-2"/>
  </r>
  <r>
    <x v="11"/>
    <x v="4"/>
    <x v="8"/>
    <n v="38"/>
    <n v="6"/>
    <n v="553.89"/>
    <n v="6"/>
    <n v="1"/>
    <n v="4013.79"/>
    <n v="2"/>
    <n v="4.3200000000000002E-2"/>
  </r>
  <r>
    <x v="12"/>
    <x v="4"/>
    <x v="8"/>
    <n v="87"/>
    <n v="21"/>
    <n v="633.13"/>
    <n v="2"/>
    <n v="9.5238095238095233E-2"/>
    <n v="336.22"/>
    <n v="1"/>
    <n v="3.4500000000000003E-2"/>
  </r>
  <r>
    <x v="13"/>
    <x v="4"/>
    <x v="8"/>
    <n v="37"/>
    <n v="8"/>
    <n v="215.09"/>
    <n v="2"/>
    <n v="0.25"/>
    <n v="3424.83"/>
    <n v="3"/>
    <n v="4.07E-2"/>
  </r>
  <r>
    <x v="14"/>
    <x v="4"/>
    <x v="8"/>
    <n v="71"/>
    <n v="8"/>
    <n v="199.19"/>
    <n v="2"/>
    <n v="0.25"/>
    <n v="635.24"/>
    <n v="2"/>
    <n v="2.9500000000000002E-2"/>
  </r>
  <r>
    <x v="15"/>
    <x v="4"/>
    <x v="8"/>
    <n v="81"/>
    <n v="5"/>
    <n v="153.5"/>
    <n v="2"/>
    <n v="0.4"/>
    <n v="1307.47"/>
    <n v="1"/>
    <n v="7.3300000000000004E-2"/>
  </r>
  <r>
    <x v="16"/>
    <x v="4"/>
    <x v="8"/>
    <n v="93"/>
    <n v="5"/>
    <n v="77.12"/>
    <n v="2"/>
    <n v="0.4"/>
    <n v="3483.91"/>
    <n v="3"/>
    <n v="9.9000000000000005E-2"/>
  </r>
  <r>
    <x v="17"/>
    <x v="4"/>
    <x v="8"/>
    <n v="21"/>
    <n v="17"/>
    <n v="533.41999999999996"/>
    <n v="7"/>
    <n v="0.41176470588235292"/>
    <n v="3895.32"/>
    <n v="2"/>
    <n v="3.4000000000000002E-2"/>
  </r>
  <r>
    <x v="18"/>
    <x v="4"/>
    <x v="8"/>
    <n v="86"/>
    <n v="17"/>
    <n v="160.88999999999999"/>
    <n v="4"/>
    <n v="0.23529411764705882"/>
    <n v="418.33"/>
    <n v="1"/>
    <n v="8.8100000000000012E-2"/>
  </r>
  <r>
    <x v="19"/>
    <x v="4"/>
    <x v="8"/>
    <n v="72"/>
    <n v="11"/>
    <n v="459.86"/>
    <n v="0"/>
    <n v="0"/>
    <n v="1269.5999999999999"/>
    <n v="3"/>
    <n v="1E-3"/>
  </r>
  <r>
    <x v="20"/>
    <x v="4"/>
    <x v="8"/>
    <n v="18"/>
    <n v="13"/>
    <n v="290.14"/>
    <n v="2"/>
    <n v="0.15384615384615385"/>
    <n v="1444.65"/>
    <n v="2"/>
    <n v="5.4699999999999999E-2"/>
  </r>
  <r>
    <x v="21"/>
    <x v="4"/>
    <x v="8"/>
    <n v="105"/>
    <n v="7"/>
    <n v="587.83000000000004"/>
    <n v="1"/>
    <n v="0.14285714285714285"/>
    <n v="3601.93"/>
    <n v="1"/>
    <n v="3.2199999999999999E-2"/>
  </r>
  <r>
    <x v="22"/>
    <x v="4"/>
    <x v="8"/>
    <n v="75"/>
    <n v="8"/>
    <n v="177.88"/>
    <n v="7"/>
    <n v="0.875"/>
    <n v="507.1"/>
    <n v="3"/>
    <n v="9.5199999999999993E-2"/>
  </r>
  <r>
    <x v="23"/>
    <x v="4"/>
    <x v="8"/>
    <n v="98"/>
    <n v="12"/>
    <n v="406.95"/>
    <n v="0"/>
    <n v="0"/>
    <n v="2978.09"/>
    <n v="2"/>
    <n v="2.3700000000000002E-2"/>
  </r>
  <r>
    <x v="24"/>
    <x v="4"/>
    <x v="8"/>
    <n v="33"/>
    <n v="13"/>
    <n v="517.1"/>
    <n v="4"/>
    <n v="0.30769230769230771"/>
    <n v="250.08"/>
    <n v="1"/>
    <n v="6.5299999999999997E-2"/>
  </r>
  <r>
    <x v="25"/>
    <x v="4"/>
    <x v="8"/>
    <n v="35"/>
    <n v="18"/>
    <n v="348.92"/>
    <n v="7"/>
    <n v="0.3888888888888889"/>
    <n v="4381.3900000000003"/>
    <n v="1"/>
    <n v="8.8599999999999998E-2"/>
  </r>
  <r>
    <x v="0"/>
    <x v="4"/>
    <x v="9"/>
    <n v="74"/>
    <n v="16"/>
    <n v="308.51"/>
    <n v="7"/>
    <n v="0.4375"/>
    <n v="4267.5"/>
    <n v="3"/>
    <n v="2.9399999999999999E-2"/>
  </r>
  <r>
    <x v="1"/>
    <x v="4"/>
    <x v="9"/>
    <n v="72"/>
    <n v="10"/>
    <n v="362.58"/>
    <n v="5"/>
    <n v="0.5"/>
    <n v="3679.65"/>
    <n v="2"/>
    <n v="3.8599999999999995E-2"/>
  </r>
  <r>
    <x v="2"/>
    <x v="4"/>
    <x v="9"/>
    <n v="58"/>
    <n v="13"/>
    <n v="368.06"/>
    <n v="2"/>
    <n v="0.15384615384615385"/>
    <n v="3626.22"/>
    <n v="1"/>
    <n v="4.1399999999999999E-2"/>
  </r>
  <r>
    <x v="3"/>
    <x v="4"/>
    <x v="9"/>
    <n v="22"/>
    <n v="7"/>
    <n v="74.680000000000007"/>
    <n v="4"/>
    <n v="0.5714285714285714"/>
    <n v="1543.72"/>
    <n v="3"/>
    <n v="2.75E-2"/>
  </r>
  <r>
    <x v="4"/>
    <x v="4"/>
    <x v="9"/>
    <n v="74"/>
    <n v="15"/>
    <n v="460.2"/>
    <n v="4"/>
    <n v="0.26666666666666666"/>
    <n v="980.1"/>
    <n v="2"/>
    <n v="3.7900000000000003E-2"/>
  </r>
  <r>
    <x v="5"/>
    <x v="4"/>
    <x v="9"/>
    <n v="62"/>
    <n v="8"/>
    <n v="540.79999999999995"/>
    <n v="3"/>
    <n v="0.375"/>
    <n v="3928.71"/>
    <n v="1"/>
    <n v="1.09E-2"/>
  </r>
  <r>
    <x v="6"/>
    <x v="4"/>
    <x v="9"/>
    <n v="70"/>
    <n v="21"/>
    <n v="319.62"/>
    <n v="3"/>
    <n v="0.14285714285714285"/>
    <n v="2486.2199999999998"/>
    <n v="3"/>
    <n v="0.1036"/>
  </r>
  <r>
    <x v="7"/>
    <x v="4"/>
    <x v="9"/>
    <n v="51"/>
    <n v="7"/>
    <n v="248.37"/>
    <n v="7"/>
    <n v="1"/>
    <n v="3946.23"/>
    <n v="2"/>
    <n v="4.2699999999999995E-2"/>
  </r>
  <r>
    <x v="8"/>
    <x v="4"/>
    <x v="9"/>
    <n v="32"/>
    <n v="16"/>
    <n v="393.04"/>
    <n v="7"/>
    <n v="0.4375"/>
    <n v="1286.18"/>
    <n v="1"/>
    <n v="5.6399999999999999E-2"/>
  </r>
  <r>
    <x v="9"/>
    <x v="4"/>
    <x v="9"/>
    <n v="71"/>
    <n v="16"/>
    <n v="323.56"/>
    <n v="9"/>
    <n v="0.5625"/>
    <n v="957.05"/>
    <n v="3"/>
    <n v="3.1099999999999999E-2"/>
  </r>
  <r>
    <x v="10"/>
    <x v="4"/>
    <x v="9"/>
    <n v="17"/>
    <n v="7"/>
    <n v="205.3"/>
    <n v="4"/>
    <n v="0.5714285714285714"/>
    <n v="762.2"/>
    <n v="2"/>
    <n v="7.2300000000000003E-2"/>
  </r>
  <r>
    <x v="11"/>
    <x v="4"/>
    <x v="9"/>
    <n v="35"/>
    <n v="6"/>
    <n v="544.78"/>
    <n v="5"/>
    <n v="0.83333333333333337"/>
    <n v="3420.99"/>
    <n v="3"/>
    <n v="4.0500000000000001E-2"/>
  </r>
  <r>
    <x v="12"/>
    <x v="4"/>
    <x v="9"/>
    <n v="73"/>
    <n v="17"/>
    <n v="557.29999999999995"/>
    <n v="3"/>
    <n v="0.17647058823529413"/>
    <n v="376.66"/>
    <n v="2"/>
    <n v="3.4700000000000002E-2"/>
  </r>
  <r>
    <x v="13"/>
    <x v="4"/>
    <x v="9"/>
    <n v="27"/>
    <n v="6"/>
    <n v="202.37"/>
    <n v="1"/>
    <n v="0.16666666666666666"/>
    <n v="3781.81"/>
    <n v="1"/>
    <n v="4.3099999999999999E-2"/>
  </r>
  <r>
    <x v="14"/>
    <x v="4"/>
    <x v="9"/>
    <n v="49"/>
    <n v="7"/>
    <n v="204.14"/>
    <n v="3"/>
    <n v="0.42857142857142855"/>
    <n v="636.65"/>
    <n v="3"/>
    <n v="2.9500000000000002E-2"/>
  </r>
  <r>
    <x v="15"/>
    <x v="4"/>
    <x v="9"/>
    <n v="106"/>
    <n v="5"/>
    <n v="163.38"/>
    <n v="1"/>
    <n v="0.2"/>
    <n v="1148.1400000000001"/>
    <n v="2"/>
    <n v="7.8799999999999995E-2"/>
  </r>
  <r>
    <x v="16"/>
    <x v="4"/>
    <x v="9"/>
    <n v="102"/>
    <n v="5"/>
    <n v="86.37"/>
    <n v="5"/>
    <n v="1"/>
    <n v="3851.19"/>
    <n v="1"/>
    <n v="8.3800000000000013E-2"/>
  </r>
  <r>
    <x v="17"/>
    <x v="4"/>
    <x v="9"/>
    <n v="21"/>
    <n v="14"/>
    <n v="537.36"/>
    <n v="7"/>
    <n v="0.5"/>
    <n v="3767.78"/>
    <n v="3"/>
    <n v="3.44E-2"/>
  </r>
  <r>
    <x v="18"/>
    <x v="4"/>
    <x v="9"/>
    <n v="104"/>
    <n v="20"/>
    <n v="181.9"/>
    <n v="4"/>
    <n v="0.2"/>
    <n v="400.92"/>
    <n v="2"/>
    <n v="0.10009999999999999"/>
  </r>
  <r>
    <x v="19"/>
    <x v="4"/>
    <x v="9"/>
    <n v="64"/>
    <n v="15"/>
    <n v="514.38"/>
    <n v="0"/>
    <n v="0"/>
    <n v="1220.5899999999999"/>
    <n v="1"/>
    <n v="1E-3"/>
  </r>
  <r>
    <x v="20"/>
    <x v="4"/>
    <x v="9"/>
    <n v="21"/>
    <n v="15"/>
    <n v="309.75"/>
    <n v="2"/>
    <n v="0.13333333333333333"/>
    <n v="1649.09"/>
    <n v="3"/>
    <n v="5.0999999999999997E-2"/>
  </r>
  <r>
    <x v="21"/>
    <x v="4"/>
    <x v="9"/>
    <n v="108"/>
    <n v="6"/>
    <n v="515.27"/>
    <n v="2"/>
    <n v="0.33333333333333331"/>
    <n v="3183.87"/>
    <n v="2"/>
    <n v="3.04E-2"/>
  </r>
  <r>
    <x v="22"/>
    <x v="4"/>
    <x v="9"/>
    <n v="63"/>
    <n v="10"/>
    <n v="194.21"/>
    <n v="7"/>
    <n v="0.7"/>
    <n v="508.84"/>
    <n v="1"/>
    <n v="9.3900000000000011E-2"/>
  </r>
  <r>
    <x v="23"/>
    <x v="4"/>
    <x v="9"/>
    <n v="85"/>
    <n v="15"/>
    <n v="400.65"/>
    <n v="0"/>
    <n v="0"/>
    <n v="2890.62"/>
    <n v="1"/>
    <n v="2.4700000000000003E-2"/>
  </r>
  <r>
    <x v="24"/>
    <x v="4"/>
    <x v="9"/>
    <n v="36"/>
    <n v="10"/>
    <n v="535.44000000000005"/>
    <n v="4"/>
    <n v="0.4"/>
    <n v="241.26"/>
    <n v="3"/>
    <n v="6.3E-2"/>
  </r>
  <r>
    <x v="25"/>
    <x v="4"/>
    <x v="9"/>
    <n v="34"/>
    <n v="12"/>
    <n v="356.4"/>
    <n v="8"/>
    <n v="0.66666666666666663"/>
    <n v="4111.76"/>
    <n v="2"/>
    <n v="8.4700000000000011E-2"/>
  </r>
  <r>
    <x v="0"/>
    <x v="4"/>
    <x v="10"/>
    <n v="67"/>
    <n v="12"/>
    <n v="352.6"/>
    <n v="6"/>
    <n v="0.5"/>
    <n v="4402.41"/>
    <n v="1"/>
    <n v="2.8999999999999998E-2"/>
  </r>
  <r>
    <x v="1"/>
    <x v="4"/>
    <x v="10"/>
    <n v="76"/>
    <n v="14"/>
    <n v="351.42"/>
    <n v="4"/>
    <n v="0.2857142857142857"/>
    <n v="3917.99"/>
    <n v="3"/>
    <n v="4.2999999999999997E-2"/>
  </r>
  <r>
    <x v="2"/>
    <x v="4"/>
    <x v="10"/>
    <n v="53"/>
    <n v="17"/>
    <n v="404.22"/>
    <n v="2"/>
    <n v="0.11764705882352941"/>
    <n v="3669.4"/>
    <n v="2"/>
    <n v="4.4500000000000005E-2"/>
  </r>
  <r>
    <x v="3"/>
    <x v="4"/>
    <x v="10"/>
    <n v="22"/>
    <n v="6"/>
    <n v="80.02"/>
    <n v="3"/>
    <n v="0.5"/>
    <n v="1476.69"/>
    <n v="1"/>
    <n v="2.9300000000000003E-2"/>
  </r>
  <r>
    <x v="4"/>
    <x v="4"/>
    <x v="10"/>
    <n v="77"/>
    <n v="16"/>
    <n v="502.41"/>
    <n v="5"/>
    <n v="0.3125"/>
    <n v="1093.75"/>
    <n v="3"/>
    <n v="3.8399999999999997E-2"/>
  </r>
  <r>
    <x v="5"/>
    <x v="4"/>
    <x v="10"/>
    <n v="52"/>
    <n v="6"/>
    <n v="492.23"/>
    <n v="2"/>
    <n v="0.33333333333333331"/>
    <n v="3775.84"/>
    <n v="2"/>
    <n v="1.1000000000000001E-2"/>
  </r>
  <r>
    <x v="6"/>
    <x v="4"/>
    <x v="10"/>
    <n v="74"/>
    <n v="17"/>
    <n v="284.91000000000003"/>
    <n v="3"/>
    <n v="0.17647058823529413"/>
    <n v="2481.64"/>
    <n v="1"/>
    <n v="9.0500000000000011E-2"/>
  </r>
  <r>
    <x v="7"/>
    <x v="4"/>
    <x v="10"/>
    <n v="50"/>
    <n v="9"/>
    <n v="237.95"/>
    <n v="5"/>
    <n v="0.55555555555555558"/>
    <n v="3982.36"/>
    <n v="3"/>
    <n v="4.4299999999999999E-2"/>
  </r>
  <r>
    <x v="8"/>
    <x v="4"/>
    <x v="10"/>
    <n v="30"/>
    <n v="21"/>
    <n v="372.34"/>
    <n v="7"/>
    <n v="0.33333333333333331"/>
    <n v="1172.04"/>
    <n v="2"/>
    <n v="5.4800000000000001E-2"/>
  </r>
  <r>
    <x v="9"/>
    <x v="4"/>
    <x v="10"/>
    <n v="74"/>
    <n v="13"/>
    <n v="324.77999999999997"/>
    <n v="7"/>
    <n v="0.53846153846153844"/>
    <n v="995.6"/>
    <n v="1"/>
    <n v="3.0699999999999998E-2"/>
  </r>
  <r>
    <x v="10"/>
    <x v="4"/>
    <x v="10"/>
    <n v="23"/>
    <n v="7"/>
    <n v="190.12"/>
    <n v="4"/>
    <n v="0.5714285714285714"/>
    <n v="788.65"/>
    <n v="3"/>
    <n v="7.2000000000000008E-2"/>
  </r>
  <r>
    <x v="11"/>
    <x v="4"/>
    <x v="10"/>
    <n v="32"/>
    <n v="7"/>
    <n v="563.41999999999996"/>
    <n v="6"/>
    <n v="0.8571428571428571"/>
    <n v="3543.71"/>
    <n v="2"/>
    <n v="4.3799999999999999E-2"/>
  </r>
  <r>
    <x v="12"/>
    <x v="4"/>
    <x v="10"/>
    <n v="59"/>
    <n v="21"/>
    <n v="633.37"/>
    <n v="2"/>
    <n v="9.5238095238095233E-2"/>
    <n v="358.29"/>
    <n v="1"/>
    <n v="3.27E-2"/>
  </r>
  <r>
    <x v="13"/>
    <x v="4"/>
    <x v="10"/>
    <n v="30"/>
    <n v="6"/>
    <n v="209.84"/>
    <n v="1"/>
    <n v="0.16666666666666666"/>
    <n v="3534.1"/>
    <n v="3"/>
    <n v="4.2000000000000003E-2"/>
  </r>
  <r>
    <x v="14"/>
    <x v="4"/>
    <x v="10"/>
    <n v="65"/>
    <n v="9"/>
    <n v="220.46"/>
    <n v="3"/>
    <n v="0.33333333333333331"/>
    <n v="707.75"/>
    <n v="2"/>
    <n v="2.76E-2"/>
  </r>
  <r>
    <x v="15"/>
    <x v="4"/>
    <x v="10"/>
    <n v="100"/>
    <n v="6"/>
    <n v="153.34"/>
    <n v="3"/>
    <n v="0.5"/>
    <n v="1248.54"/>
    <n v="1"/>
    <n v="7.9000000000000001E-2"/>
  </r>
  <r>
    <x v="16"/>
    <x v="4"/>
    <x v="10"/>
    <n v="81"/>
    <n v="7"/>
    <n v="79.62"/>
    <n v="7"/>
    <n v="1"/>
    <n v="3892.76"/>
    <n v="3"/>
    <n v="9.74E-2"/>
  </r>
  <r>
    <x v="17"/>
    <x v="4"/>
    <x v="10"/>
    <n v="26"/>
    <n v="17"/>
    <n v="504.54"/>
    <n v="8"/>
    <n v="0.47058823529411764"/>
    <n v="3359.77"/>
    <n v="2"/>
    <n v="3.2000000000000001E-2"/>
  </r>
  <r>
    <x v="18"/>
    <x v="4"/>
    <x v="10"/>
    <n v="96"/>
    <n v="16"/>
    <n v="161.69"/>
    <n v="5"/>
    <n v="0.3125"/>
    <n v="392.05"/>
    <n v="1"/>
    <n v="9.5700000000000007E-2"/>
  </r>
  <r>
    <x v="19"/>
    <x v="4"/>
    <x v="10"/>
    <n v="72"/>
    <n v="12"/>
    <n v="474.28"/>
    <n v="1"/>
    <n v="8.3333333333333329E-2"/>
    <n v="1097.5999999999999"/>
    <n v="3"/>
    <n v="1E-3"/>
  </r>
  <r>
    <x v="20"/>
    <x v="4"/>
    <x v="10"/>
    <n v="18"/>
    <n v="15"/>
    <n v="268.94"/>
    <n v="1"/>
    <n v="6.6666666666666666E-2"/>
    <n v="1469.71"/>
    <n v="2"/>
    <n v="5.0900000000000001E-2"/>
  </r>
  <r>
    <x v="21"/>
    <x v="4"/>
    <x v="10"/>
    <n v="87"/>
    <n v="5"/>
    <n v="601.28"/>
    <n v="2"/>
    <n v="0.4"/>
    <n v="3491.19"/>
    <n v="1"/>
    <n v="2.9700000000000001E-2"/>
  </r>
  <r>
    <x v="22"/>
    <x v="4"/>
    <x v="10"/>
    <n v="73"/>
    <n v="8"/>
    <n v="182.48"/>
    <n v="8"/>
    <n v="1"/>
    <n v="548.46"/>
    <n v="1"/>
    <n v="8.8200000000000001E-2"/>
  </r>
  <r>
    <x v="23"/>
    <x v="4"/>
    <x v="10"/>
    <n v="97"/>
    <n v="14"/>
    <n v="368.16"/>
    <n v="0"/>
    <n v="0"/>
    <n v="3020.19"/>
    <n v="3"/>
    <n v="2.5099999999999997E-2"/>
  </r>
  <r>
    <x v="24"/>
    <x v="4"/>
    <x v="10"/>
    <n v="28"/>
    <n v="12"/>
    <n v="565.51"/>
    <n v="4"/>
    <n v="0.33333333333333331"/>
    <n v="231.16"/>
    <n v="2"/>
    <n v="6.2699999999999992E-2"/>
  </r>
  <r>
    <x v="25"/>
    <x v="4"/>
    <x v="10"/>
    <n v="41"/>
    <n v="13"/>
    <n v="370.44"/>
    <n v="9"/>
    <n v="0.69230769230769229"/>
    <n v="4484.96"/>
    <n v="1"/>
    <n v="8.5199999999999998E-2"/>
  </r>
  <r>
    <x v="0"/>
    <x v="4"/>
    <x v="11"/>
    <n v="61"/>
    <n v="13"/>
    <n v="356.61"/>
    <n v="7"/>
    <n v="0.53846153846153844"/>
    <n v="4099.6400000000003"/>
    <n v="3"/>
    <n v="2.9600000000000001E-2"/>
  </r>
  <r>
    <x v="1"/>
    <x v="4"/>
    <x v="11"/>
    <n v="80"/>
    <n v="13"/>
    <n v="369.46"/>
    <n v="4"/>
    <n v="0.30769230769230771"/>
    <n v="3996.04"/>
    <n v="2"/>
    <n v="3.7499999999999999E-2"/>
  </r>
  <r>
    <x v="2"/>
    <x v="4"/>
    <x v="11"/>
    <n v="51"/>
    <n v="14"/>
    <n v="419.93"/>
    <n v="2"/>
    <n v="0.14285714285714285"/>
    <n v="3543.6"/>
    <n v="1"/>
    <n v="4.6300000000000001E-2"/>
  </r>
  <r>
    <x v="3"/>
    <x v="4"/>
    <x v="11"/>
    <n v="20"/>
    <n v="5"/>
    <n v="71.41"/>
    <n v="3"/>
    <n v="0.6"/>
    <n v="1527.27"/>
    <n v="3"/>
    <n v="2.7000000000000003E-2"/>
  </r>
  <r>
    <x v="4"/>
    <x v="4"/>
    <x v="11"/>
    <n v="101"/>
    <n v="14"/>
    <n v="503.93"/>
    <n v="5"/>
    <n v="0.35714285714285715"/>
    <n v="1116.6099999999999"/>
    <n v="2"/>
    <n v="3.7000000000000005E-2"/>
  </r>
  <r>
    <x v="5"/>
    <x v="4"/>
    <x v="11"/>
    <n v="70"/>
    <n v="6"/>
    <n v="488.97"/>
    <n v="3"/>
    <n v="0.5"/>
    <n v="3767.09"/>
    <n v="1"/>
    <n v="1.0800000000000001E-2"/>
  </r>
  <r>
    <x v="6"/>
    <x v="4"/>
    <x v="11"/>
    <n v="84"/>
    <n v="19"/>
    <n v="301.2"/>
    <n v="2"/>
    <n v="0.10526315789473684"/>
    <n v="2608.4699999999998"/>
    <n v="3"/>
    <n v="0.1032"/>
  </r>
  <r>
    <x v="7"/>
    <x v="4"/>
    <x v="11"/>
    <n v="50"/>
    <n v="6"/>
    <n v="219.19"/>
    <n v="4"/>
    <n v="0.66666666666666663"/>
    <n v="3836.95"/>
    <n v="2"/>
    <n v="3.8699999999999998E-2"/>
  </r>
  <r>
    <x v="8"/>
    <x v="4"/>
    <x v="11"/>
    <n v="28"/>
    <n v="19"/>
    <n v="352.06"/>
    <n v="9"/>
    <n v="0.47368421052631576"/>
    <n v="1107.51"/>
    <n v="3"/>
    <n v="5.5E-2"/>
  </r>
  <r>
    <x v="9"/>
    <x v="4"/>
    <x v="11"/>
    <n v="69"/>
    <n v="16"/>
    <n v="337.7"/>
    <n v="9"/>
    <n v="0.5625"/>
    <n v="947.47"/>
    <n v="2"/>
    <n v="3.56E-2"/>
  </r>
  <r>
    <x v="10"/>
    <x v="4"/>
    <x v="11"/>
    <n v="18"/>
    <n v="6"/>
    <n v="212.39"/>
    <n v="3"/>
    <n v="0.5"/>
    <n v="730.81"/>
    <n v="1"/>
    <n v="8.6699999999999999E-2"/>
  </r>
  <r>
    <x v="11"/>
    <x v="4"/>
    <x v="11"/>
    <n v="40"/>
    <n v="7"/>
    <n v="486.93"/>
    <n v="7"/>
    <n v="1"/>
    <n v="3643.63"/>
    <n v="3"/>
    <n v="4.0199999999999993E-2"/>
  </r>
  <r>
    <x v="12"/>
    <x v="4"/>
    <x v="11"/>
    <n v="77"/>
    <n v="16"/>
    <n v="539.26"/>
    <n v="3"/>
    <n v="0.1875"/>
    <n v="379.83"/>
    <n v="2"/>
    <n v="3.7999999999999999E-2"/>
  </r>
  <r>
    <x v="13"/>
    <x v="4"/>
    <x v="11"/>
    <n v="31"/>
    <n v="6"/>
    <n v="191.66"/>
    <n v="2"/>
    <n v="0.33333333333333331"/>
    <n v="3753.06"/>
    <n v="1"/>
    <n v="3.8300000000000001E-2"/>
  </r>
  <r>
    <x v="14"/>
    <x v="4"/>
    <x v="11"/>
    <n v="57"/>
    <n v="7"/>
    <n v="190.08"/>
    <n v="2"/>
    <n v="0.2857142857142857"/>
    <n v="649.97"/>
    <n v="3"/>
    <n v="2.8799999999999999E-2"/>
  </r>
  <r>
    <x v="15"/>
    <x v="4"/>
    <x v="11"/>
    <n v="88"/>
    <n v="5"/>
    <n v="168.89"/>
    <n v="3"/>
    <n v="0.6"/>
    <n v="1153.93"/>
    <n v="2"/>
    <n v="8.2500000000000004E-2"/>
  </r>
  <r>
    <x v="16"/>
    <x v="4"/>
    <x v="11"/>
    <n v="74"/>
    <n v="6"/>
    <n v="87.83"/>
    <n v="6"/>
    <n v="1"/>
    <n v="3741.27"/>
    <n v="1"/>
    <n v="9.9700000000000011E-2"/>
  </r>
  <r>
    <x v="17"/>
    <x v="4"/>
    <x v="11"/>
    <n v="26"/>
    <n v="13"/>
    <n v="543.15"/>
    <n v="6"/>
    <n v="0.46153846153846156"/>
    <n v="3793.56"/>
    <n v="3"/>
    <n v="3.56E-2"/>
  </r>
  <r>
    <x v="18"/>
    <x v="4"/>
    <x v="11"/>
    <n v="99"/>
    <n v="15"/>
    <n v="181.12"/>
    <n v="5"/>
    <n v="0.33333333333333331"/>
    <n v="454.09"/>
    <n v="2"/>
    <n v="9.3599999999999989E-2"/>
  </r>
  <r>
    <x v="19"/>
    <x v="4"/>
    <x v="11"/>
    <n v="74"/>
    <n v="14"/>
    <n v="508.85"/>
    <n v="1"/>
    <n v="7.1428571428571425E-2"/>
    <n v="1182.6300000000001"/>
    <n v="1"/>
    <n v="8.9999999999999998E-4"/>
  </r>
  <r>
    <x v="20"/>
    <x v="4"/>
    <x v="11"/>
    <n v="21"/>
    <n v="17"/>
    <n v="297.83999999999997"/>
    <n v="1"/>
    <n v="5.8823529411764705E-2"/>
    <n v="1553.7"/>
    <n v="1"/>
    <n v="5.0700000000000002E-2"/>
  </r>
  <r>
    <x v="21"/>
    <x v="4"/>
    <x v="11"/>
    <n v="94"/>
    <n v="6"/>
    <n v="537.26"/>
    <n v="1"/>
    <n v="0.16666666666666666"/>
    <n v="3665.55"/>
    <n v="3"/>
    <n v="3.0800000000000001E-2"/>
  </r>
  <r>
    <x v="22"/>
    <x v="4"/>
    <x v="11"/>
    <n v="83"/>
    <n v="9"/>
    <n v="188.49"/>
    <n v="7"/>
    <n v="0.77777777777777779"/>
    <n v="545.09"/>
    <n v="2"/>
    <n v="8.5600000000000009E-2"/>
  </r>
  <r>
    <x v="23"/>
    <x v="4"/>
    <x v="11"/>
    <n v="84"/>
    <n v="14"/>
    <n v="370.36"/>
    <n v="0"/>
    <n v="0"/>
    <n v="2605.02"/>
    <n v="1"/>
    <n v="2.5499999999999998E-2"/>
  </r>
  <r>
    <x v="24"/>
    <x v="4"/>
    <x v="11"/>
    <n v="32"/>
    <n v="10"/>
    <n v="500.83"/>
    <n v="4"/>
    <n v="0.4"/>
    <n v="239.13"/>
    <n v="3"/>
    <n v="6.1900000000000004E-2"/>
  </r>
  <r>
    <x v="25"/>
    <x v="4"/>
    <x v="11"/>
    <n v="39"/>
    <n v="15"/>
    <n v="319.08999999999997"/>
    <n v="7"/>
    <n v="0.46666666666666667"/>
    <n v="4573.5"/>
    <n v="2"/>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80AFCE-D1FB-466A-AFDC-3D66E91DCB06}" name="PivotTable3" cacheId="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B39"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 Deal Value ($)" fld="8" baseField="0" baseItem="0"/>
  </dataFields>
  <formats count="2">
    <format dxfId="190">
      <pivotArea outline="0" collapsedLevelsAreSubtotals="1" fieldPosition="0"/>
    </format>
    <format dxfId="19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9FB2D6-7E52-41D4-B750-7290538C97A7}" name="PivotTable2" cacheId="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Average of Service Level" fld="9" subtotal="average" baseField="1" baseItem="3" numFmtId="2"/>
  </dataFields>
  <formats count="2">
    <format dxfId="201">
      <pivotArea outline="0" collapsedLevelsAreSubtotals="1" fieldPosition="0"/>
    </format>
    <format dxfId="2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51470-8956-4CA9-9BF1-7E1BE8DF9528}" name="PivotTable1" cacheId="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Total Calls" fld="3" baseField="0" baseItem="0"/>
    <dataField name=" Calls Reached" fld="4" baseField="0" baseItem="0"/>
    <dataField name=" Deals Closed" fld="6" baseField="0" baseItem="0"/>
    <dataField name=" Deal Value ($)" fld="8" baseField="0" baseItem="0"/>
  </dataFields>
  <formats count="2">
    <format dxfId="203">
      <pivotArea outline="0" collapsedLevelsAreSubtotals="1" fieldPosition="0"/>
    </format>
    <format dxfId="20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D8705F-9146-45E4-A4D6-F031837BFF02}"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G33" firstHeaderRow="0" firstDataRow="1" firstDataCol="1"/>
  <pivotFields count="13">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3" baseField="0" baseItem="0"/>
    <dataField name=" Deals Closed" fld="6" baseField="0" baseItem="0"/>
    <dataField name=" Deal Value ($)" fld="8" baseField="0" baseItem="0"/>
    <dataField name=" Calls Reached" fld="4" baseField="0" baseItem="0"/>
  </dataFields>
  <formats count="8">
    <format dxfId="198">
      <pivotArea outline="0" collapsedLevelsAreSubtotals="1" fieldPosition="0"/>
    </format>
    <format dxfId="199">
      <pivotArea outline="0" collapsedLevelsAreSubtotals="1" fieldPosition="0"/>
    </format>
    <format dxfId="197">
      <pivotArea field="0" type="button" dataOnly="0" labelOnly="1" outline="0" axis="axisRow" fieldPosition="0"/>
    </format>
    <format dxfId="196">
      <pivotArea dataOnly="0" labelOnly="1" outline="0" fieldPosition="0">
        <references count="1">
          <reference field="4294967294" count="3">
            <x v="0"/>
            <x v="1"/>
            <x v="2"/>
          </reference>
        </references>
      </pivotArea>
    </format>
    <format dxfId="195">
      <pivotArea field="0" grandRow="1" outline="0" collapsedLevelsAreSubtotals="1" axis="axisRow" fieldPosition="0">
        <references count="1">
          <reference field="4294967294" count="1" selected="0">
            <x v="2"/>
          </reference>
        </references>
      </pivotArea>
    </format>
    <format dxfId="194">
      <pivotArea field="0" grandRow="1" outline="0" collapsedLevelsAreSubtotals="1" axis="axisRow" fieldPosition="0">
        <references count="1">
          <reference field="4294967294" count="1" selected="0">
            <x v="1"/>
          </reference>
        </references>
      </pivotArea>
    </format>
    <format dxfId="193">
      <pivotArea dataOnly="0" labelOnly="1" grandRow="1" outline="0" fieldPosition="0"/>
    </format>
    <format dxfId="192">
      <pivotArea field="0" grandRow="1" outline="0" collapsedLevelsAreSubtotals="1" axis="axisRow" fieldPosition="0">
        <references count="1">
          <reference field="4294967294" count="1" selected="0">
            <x v="0"/>
          </reference>
        </references>
      </pivotArea>
    </format>
  </formats>
  <conditionalFormats count="4">
    <conditionalFormat priority="4">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4767C865-D900-43CD-816D-B6125AE8AE67}" sourceName="Name">
  <pivotTables>
    <pivotTable tabId="2" name="PivotTable3"/>
    <pivotTable tabId="2" name="PivotTable1"/>
    <pivotTable tabId="2" name="PivotTable2"/>
    <pivotTable tabId="3" name="PivotTable4"/>
  </pivotTables>
  <data>
    <tabular pivotCacheId="1803773010">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C8D398B7-A3B9-486B-B637-E3B701FA4082}" cache="Slicer_Name" caption="Name" startItem="1"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DF3CC-8651-40EE-A14E-2FFB060653D9}" name="SalesData3" displayName="SalesData3" ref="A1:K313" totalsRowShown="0" headerRowDxfId="207">
  <autoFilter ref="A1:K313" xr:uid="{A32DF3CC-8651-40EE-A14E-2FFB060653D9}"/>
  <tableColumns count="11">
    <tableColumn id="1" xr3:uid="{1F612288-3C1A-4DC3-A614-7423088428CD}" name="Name"/>
    <tableColumn id="11" xr3:uid="{2133244D-DE9B-4DA8-BAF8-386E71ABCB6E}" name="Region"/>
    <tableColumn id="2" xr3:uid="{D0D4269E-A58D-4E15-8BEF-F2A6DB622417}" name="Date" dataDxfId="206"/>
    <tableColumn id="3" xr3:uid="{E8E16FD8-DF9A-4D12-8C12-5E8ECE546993}" name="Total Calls"/>
    <tableColumn id="4" xr3:uid="{DE67EEC2-6EBB-442E-841D-65559C3D632D}" name="Calls Reached"/>
    <tableColumn id="5" xr3:uid="{F5FB7232-4F44-425C-B8C3-7A57532CAEB7}" name="Average Duration (sec)"/>
    <tableColumn id="6" xr3:uid="{D3BD77FF-B48F-4B9D-91A7-FAA889427F03}" name="Deals Closed"/>
    <tableColumn id="7" xr3:uid="{D59C2232-F36B-4ABF-B240-309D6CA5B7B1}" name="Call Conversion Rate (%)" dataDxfId="205"/>
    <tableColumn id="8" xr3:uid="{C7520796-477B-47AD-8F97-7C0569BA9088}" name="Deal Value ($)"/>
    <tableColumn id="10" xr3:uid="{B5B5183A-BE8A-4932-84C9-E56E83A0A9AD}" name="Service Level"/>
    <tableColumn id="9" xr3:uid="{3FADB8DF-AAAE-4A97-AF84-AC17464ABE9D}" name="Call Drop Rate (%)" dataDxfId="20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3"/>
  <sheetViews>
    <sheetView tabSelected="1" workbookViewId="0">
      <selection activeCell="D14" sqref="D14"/>
    </sheetView>
  </sheetViews>
  <sheetFormatPr defaultRowHeight="14.5" x14ac:dyDescent="0.35"/>
  <cols>
    <col min="1" max="1" width="8" bestFit="1" customWidth="1"/>
    <col min="2" max="2" width="9.7265625" bestFit="1" customWidth="1"/>
    <col min="3" max="3" width="9.453125" bestFit="1" customWidth="1"/>
    <col min="4" max="4" width="11.6328125" bestFit="1" customWidth="1"/>
    <col min="5" max="5" width="10.1796875" bestFit="1" customWidth="1"/>
    <col min="6" max="6" width="14.90625" bestFit="1" customWidth="1"/>
    <col min="7" max="7" width="8.6328125" bestFit="1" customWidth="1"/>
    <col min="8" max="8" width="16" bestFit="1" customWidth="1"/>
    <col min="9" max="9" width="12" bestFit="1" customWidth="1"/>
    <col min="10" max="10" width="8.90625" bestFit="1" customWidth="1"/>
    <col min="11" max="11" width="10.7265625" bestFit="1" customWidth="1"/>
  </cols>
  <sheetData>
    <row r="1" spans="1:11" ht="38.5" customHeight="1" x14ac:dyDescent="0.35">
      <c r="A1" s="1" t="s">
        <v>31</v>
      </c>
      <c r="B1" s="1" t="s">
        <v>32</v>
      </c>
      <c r="C1" s="2" t="s">
        <v>33</v>
      </c>
      <c r="D1" s="1" t="s">
        <v>34</v>
      </c>
      <c r="E1" s="1" t="s">
        <v>35</v>
      </c>
      <c r="F1" s="1" t="s">
        <v>36</v>
      </c>
      <c r="G1" s="1" t="s">
        <v>37</v>
      </c>
      <c r="H1" s="3" t="s">
        <v>38</v>
      </c>
      <c r="I1" s="1" t="s">
        <v>39</v>
      </c>
      <c r="J1" s="1" t="s">
        <v>40</v>
      </c>
      <c r="K1" s="1" t="s">
        <v>41</v>
      </c>
    </row>
    <row r="2" spans="1:11" x14ac:dyDescent="0.35">
      <c r="A2" t="s">
        <v>0</v>
      </c>
      <c r="B2" t="s">
        <v>1</v>
      </c>
      <c r="C2" s="4">
        <v>45292</v>
      </c>
      <c r="D2">
        <v>74</v>
      </c>
      <c r="E2">
        <v>12</v>
      </c>
      <c r="F2">
        <v>330.42</v>
      </c>
      <c r="G2">
        <v>7</v>
      </c>
      <c r="H2" s="5">
        <v>0.58333333333333337</v>
      </c>
      <c r="I2">
        <v>4276.3100000000004</v>
      </c>
      <c r="J2">
        <v>3</v>
      </c>
      <c r="K2" s="5">
        <v>2.9500000000000002E-2</v>
      </c>
    </row>
    <row r="3" spans="1:11" x14ac:dyDescent="0.35">
      <c r="A3" t="s">
        <v>2</v>
      </c>
      <c r="B3" t="s">
        <v>1</v>
      </c>
      <c r="C3" s="4">
        <v>45292</v>
      </c>
      <c r="D3">
        <v>78</v>
      </c>
      <c r="E3">
        <v>12</v>
      </c>
      <c r="F3">
        <v>377.5</v>
      </c>
      <c r="G3">
        <v>4</v>
      </c>
      <c r="H3" s="5">
        <v>0.33333333333333331</v>
      </c>
      <c r="I3">
        <v>3880.98</v>
      </c>
      <c r="J3">
        <v>2</v>
      </c>
      <c r="K3" s="5">
        <v>4.3400000000000001E-2</v>
      </c>
    </row>
    <row r="4" spans="1:11" x14ac:dyDescent="0.35">
      <c r="A4" t="s">
        <v>3</v>
      </c>
      <c r="B4" t="s">
        <v>1</v>
      </c>
      <c r="C4" s="4">
        <v>45292</v>
      </c>
      <c r="D4">
        <v>47</v>
      </c>
      <c r="E4">
        <v>14</v>
      </c>
      <c r="F4">
        <v>418.92</v>
      </c>
      <c r="G4">
        <v>2</v>
      </c>
      <c r="H4" s="5">
        <v>0.14285714285714285</v>
      </c>
      <c r="I4">
        <v>3716</v>
      </c>
      <c r="J4">
        <v>1</v>
      </c>
      <c r="K4" s="5">
        <v>4.3899999999999995E-2</v>
      </c>
    </row>
    <row r="5" spans="1:11" x14ac:dyDescent="0.35">
      <c r="A5" t="s">
        <v>4</v>
      </c>
      <c r="B5" t="s">
        <v>1</v>
      </c>
      <c r="C5" s="4">
        <v>45292</v>
      </c>
      <c r="D5">
        <v>24</v>
      </c>
      <c r="E5">
        <v>6</v>
      </c>
      <c r="F5">
        <v>76.930000000000007</v>
      </c>
      <c r="G5">
        <v>4</v>
      </c>
      <c r="H5" s="5">
        <v>0.66666666666666663</v>
      </c>
      <c r="I5">
        <v>1552.35</v>
      </c>
      <c r="J5">
        <v>3</v>
      </c>
      <c r="K5" s="5">
        <v>3.0800000000000001E-2</v>
      </c>
    </row>
    <row r="6" spans="1:11" x14ac:dyDescent="0.35">
      <c r="A6" t="s">
        <v>5</v>
      </c>
      <c r="B6" t="s">
        <v>1</v>
      </c>
      <c r="C6" s="4">
        <v>45292</v>
      </c>
      <c r="D6">
        <v>81</v>
      </c>
      <c r="E6">
        <v>16</v>
      </c>
      <c r="F6">
        <v>516.23</v>
      </c>
      <c r="G6">
        <v>5</v>
      </c>
      <c r="H6" s="5">
        <v>0.3125</v>
      </c>
      <c r="I6">
        <v>1030.68</v>
      </c>
      <c r="J6">
        <v>2</v>
      </c>
      <c r="K6" s="5">
        <v>4.1100000000000005E-2</v>
      </c>
    </row>
    <row r="7" spans="1:11" x14ac:dyDescent="0.35">
      <c r="A7" t="s">
        <v>6</v>
      </c>
      <c r="B7" t="s">
        <v>1</v>
      </c>
      <c r="C7" s="4">
        <v>45292</v>
      </c>
      <c r="D7">
        <v>59</v>
      </c>
      <c r="E7">
        <v>5</v>
      </c>
      <c r="F7">
        <v>520.05999999999995</v>
      </c>
      <c r="G7">
        <v>3</v>
      </c>
      <c r="H7" s="5">
        <v>0.6</v>
      </c>
      <c r="I7">
        <v>3546.72</v>
      </c>
      <c r="J7">
        <v>1</v>
      </c>
      <c r="K7" s="5">
        <v>1.2699999999999999E-2</v>
      </c>
    </row>
    <row r="8" spans="1:11" x14ac:dyDescent="0.35">
      <c r="A8" t="s">
        <v>7</v>
      </c>
      <c r="B8" t="s">
        <v>1</v>
      </c>
      <c r="C8" s="4">
        <v>45292</v>
      </c>
      <c r="D8">
        <v>68</v>
      </c>
      <c r="E8">
        <v>19</v>
      </c>
      <c r="F8">
        <v>290.39</v>
      </c>
      <c r="G8">
        <v>3</v>
      </c>
      <c r="H8" s="5">
        <v>0.15789473684210525</v>
      </c>
      <c r="I8">
        <v>2472.2399999999998</v>
      </c>
      <c r="J8">
        <v>3</v>
      </c>
      <c r="K8" s="5">
        <v>9.5399999999999985E-2</v>
      </c>
    </row>
    <row r="9" spans="1:11" x14ac:dyDescent="0.35">
      <c r="A9" t="s">
        <v>8</v>
      </c>
      <c r="B9" t="s">
        <v>1</v>
      </c>
      <c r="C9" s="4">
        <v>45292</v>
      </c>
      <c r="D9">
        <v>60</v>
      </c>
      <c r="E9">
        <v>7</v>
      </c>
      <c r="F9">
        <v>251.7</v>
      </c>
      <c r="G9">
        <v>5</v>
      </c>
      <c r="H9" s="5">
        <v>0.7142857142857143</v>
      </c>
      <c r="I9">
        <v>3956.69</v>
      </c>
      <c r="J9">
        <v>2</v>
      </c>
      <c r="K9" s="5">
        <v>4.1100000000000005E-2</v>
      </c>
    </row>
    <row r="10" spans="1:11" x14ac:dyDescent="0.35">
      <c r="A10" t="s">
        <v>9</v>
      </c>
      <c r="B10" t="s">
        <v>1</v>
      </c>
      <c r="C10" s="4">
        <v>45292</v>
      </c>
      <c r="D10">
        <v>34</v>
      </c>
      <c r="E10">
        <v>21</v>
      </c>
      <c r="F10">
        <v>362.62</v>
      </c>
      <c r="G10">
        <v>9</v>
      </c>
      <c r="H10" s="5">
        <v>0.42857142857142855</v>
      </c>
      <c r="I10">
        <v>1140.08</v>
      </c>
      <c r="J10">
        <v>1</v>
      </c>
      <c r="K10" s="5">
        <v>5.4600000000000003E-2</v>
      </c>
    </row>
    <row r="11" spans="1:11" x14ac:dyDescent="0.35">
      <c r="A11" t="s">
        <v>10</v>
      </c>
      <c r="B11" t="s">
        <v>1</v>
      </c>
      <c r="C11" s="4">
        <v>45292</v>
      </c>
      <c r="D11">
        <v>59</v>
      </c>
      <c r="E11">
        <v>13</v>
      </c>
      <c r="F11">
        <v>307.49</v>
      </c>
      <c r="G11">
        <v>10</v>
      </c>
      <c r="H11" s="5">
        <v>0.76923076923076927</v>
      </c>
      <c r="I11">
        <v>979.09</v>
      </c>
      <c r="J11">
        <v>3</v>
      </c>
      <c r="K11" s="5">
        <v>3.27E-2</v>
      </c>
    </row>
    <row r="12" spans="1:11" x14ac:dyDescent="0.35">
      <c r="A12" t="s">
        <v>11</v>
      </c>
      <c r="B12" t="s">
        <v>1</v>
      </c>
      <c r="C12" s="4">
        <v>45292</v>
      </c>
      <c r="D12">
        <v>18</v>
      </c>
      <c r="E12">
        <v>8</v>
      </c>
      <c r="F12">
        <v>206.81</v>
      </c>
      <c r="G12">
        <v>7</v>
      </c>
      <c r="H12" s="5">
        <v>0.875</v>
      </c>
      <c r="I12">
        <v>720.56</v>
      </c>
      <c r="J12">
        <v>2</v>
      </c>
      <c r="K12" s="5">
        <v>7.8899999999999998E-2</v>
      </c>
    </row>
    <row r="13" spans="1:11" x14ac:dyDescent="0.35">
      <c r="A13" t="s">
        <v>12</v>
      </c>
      <c r="B13" t="s">
        <v>1</v>
      </c>
      <c r="C13" s="4">
        <v>45292</v>
      </c>
      <c r="D13">
        <v>36</v>
      </c>
      <c r="E13">
        <v>6</v>
      </c>
      <c r="F13">
        <v>547.6</v>
      </c>
      <c r="G13">
        <v>5</v>
      </c>
      <c r="H13" s="5">
        <v>0.83333333333333337</v>
      </c>
      <c r="I13">
        <v>3463.18</v>
      </c>
      <c r="J13">
        <v>1</v>
      </c>
      <c r="K13" s="5">
        <v>3.7599999999999995E-2</v>
      </c>
    </row>
    <row r="14" spans="1:11" x14ac:dyDescent="0.35">
      <c r="A14" t="s">
        <v>13</v>
      </c>
      <c r="B14" t="s">
        <v>1</v>
      </c>
      <c r="C14" s="4">
        <v>45292</v>
      </c>
      <c r="D14">
        <v>67</v>
      </c>
      <c r="E14">
        <v>17</v>
      </c>
      <c r="F14">
        <v>552.54999999999995</v>
      </c>
      <c r="G14">
        <v>2</v>
      </c>
      <c r="H14" s="5">
        <v>0.11764705882352941</v>
      </c>
      <c r="I14">
        <v>330.12</v>
      </c>
      <c r="J14">
        <v>1</v>
      </c>
      <c r="K14" s="5">
        <v>3.7200000000000004E-2</v>
      </c>
    </row>
    <row r="15" spans="1:11" x14ac:dyDescent="0.35">
      <c r="A15" t="s">
        <v>14</v>
      </c>
      <c r="B15" t="s">
        <v>1</v>
      </c>
      <c r="C15" s="4">
        <v>45292</v>
      </c>
      <c r="D15">
        <v>36</v>
      </c>
      <c r="E15">
        <v>9</v>
      </c>
      <c r="F15">
        <v>216.03</v>
      </c>
      <c r="G15">
        <v>2</v>
      </c>
      <c r="H15" s="5">
        <v>0.22222222222222221</v>
      </c>
      <c r="I15">
        <v>4072.07</v>
      </c>
      <c r="J15">
        <v>3</v>
      </c>
      <c r="K15" s="5">
        <v>4.1200000000000001E-2</v>
      </c>
    </row>
    <row r="16" spans="1:11" x14ac:dyDescent="0.35">
      <c r="A16" t="s">
        <v>15</v>
      </c>
      <c r="B16" t="s">
        <v>1</v>
      </c>
      <c r="C16" s="4">
        <v>45292</v>
      </c>
      <c r="D16">
        <v>54</v>
      </c>
      <c r="E16">
        <v>10</v>
      </c>
      <c r="F16">
        <v>208.23</v>
      </c>
      <c r="G16">
        <v>3</v>
      </c>
      <c r="H16" s="5">
        <v>0.3</v>
      </c>
      <c r="I16">
        <v>645.83000000000004</v>
      </c>
      <c r="J16">
        <v>2</v>
      </c>
      <c r="K16" s="5">
        <v>2.7999999999999997E-2</v>
      </c>
    </row>
    <row r="17" spans="1:11" x14ac:dyDescent="0.35">
      <c r="A17" t="s">
        <v>16</v>
      </c>
      <c r="B17" t="s">
        <v>1</v>
      </c>
      <c r="C17" s="4">
        <v>45292</v>
      </c>
      <c r="D17">
        <v>82</v>
      </c>
      <c r="E17">
        <v>4</v>
      </c>
      <c r="F17">
        <v>180.06</v>
      </c>
      <c r="G17">
        <v>4</v>
      </c>
      <c r="H17" s="5">
        <v>1</v>
      </c>
      <c r="I17">
        <v>1207.17</v>
      </c>
      <c r="J17">
        <v>1</v>
      </c>
      <c r="K17" s="5">
        <v>8.4199999999999997E-2</v>
      </c>
    </row>
    <row r="18" spans="1:11" x14ac:dyDescent="0.35">
      <c r="A18" t="s">
        <v>17</v>
      </c>
      <c r="B18" t="s">
        <v>1</v>
      </c>
      <c r="C18" s="4">
        <v>45292</v>
      </c>
      <c r="D18">
        <v>81</v>
      </c>
      <c r="E18">
        <v>7</v>
      </c>
      <c r="F18">
        <v>82.43</v>
      </c>
      <c r="G18">
        <v>7</v>
      </c>
      <c r="H18" s="5">
        <v>1</v>
      </c>
      <c r="I18">
        <v>3463.96</v>
      </c>
      <c r="J18">
        <v>3</v>
      </c>
      <c r="K18" s="5">
        <v>8.4900000000000003E-2</v>
      </c>
    </row>
    <row r="19" spans="1:11" x14ac:dyDescent="0.35">
      <c r="A19" t="s">
        <v>18</v>
      </c>
      <c r="B19" t="s">
        <v>1</v>
      </c>
      <c r="C19" s="4">
        <v>45292</v>
      </c>
      <c r="D19">
        <v>31</v>
      </c>
      <c r="E19">
        <v>17</v>
      </c>
      <c r="F19">
        <v>476.95</v>
      </c>
      <c r="G19">
        <v>7</v>
      </c>
      <c r="H19" s="5">
        <v>0.41176470588235292</v>
      </c>
      <c r="I19">
        <v>3945.43</v>
      </c>
      <c r="J19">
        <v>2</v>
      </c>
      <c r="K19" s="5">
        <v>3.6000000000000004E-2</v>
      </c>
    </row>
    <row r="20" spans="1:11" x14ac:dyDescent="0.35">
      <c r="A20" t="s">
        <v>19</v>
      </c>
      <c r="B20" t="s">
        <v>1</v>
      </c>
      <c r="C20" s="4">
        <v>45292</v>
      </c>
      <c r="D20">
        <v>92</v>
      </c>
      <c r="E20">
        <v>20</v>
      </c>
      <c r="F20">
        <v>161.41999999999999</v>
      </c>
      <c r="G20">
        <v>4</v>
      </c>
      <c r="H20" s="5">
        <v>0.2</v>
      </c>
      <c r="I20">
        <v>425.41</v>
      </c>
      <c r="J20">
        <v>1</v>
      </c>
      <c r="K20" s="5">
        <v>0.1045</v>
      </c>
    </row>
    <row r="21" spans="1:11" x14ac:dyDescent="0.35">
      <c r="A21" t="s">
        <v>20</v>
      </c>
      <c r="B21" t="s">
        <v>1</v>
      </c>
      <c r="C21" s="4">
        <v>45292</v>
      </c>
      <c r="D21">
        <v>73</v>
      </c>
      <c r="E21">
        <v>12</v>
      </c>
      <c r="F21">
        <v>507.45</v>
      </c>
      <c r="G21">
        <v>0</v>
      </c>
      <c r="H21" s="5">
        <v>0</v>
      </c>
      <c r="I21">
        <v>1123.8399999999999</v>
      </c>
      <c r="J21">
        <v>3</v>
      </c>
      <c r="K21" s="5">
        <v>8.9999999999999998E-4</v>
      </c>
    </row>
    <row r="22" spans="1:11" x14ac:dyDescent="0.35">
      <c r="A22" t="s">
        <v>21</v>
      </c>
      <c r="B22" t="s">
        <v>1</v>
      </c>
      <c r="C22" s="4">
        <v>45292</v>
      </c>
      <c r="D22">
        <v>25</v>
      </c>
      <c r="E22">
        <v>14</v>
      </c>
      <c r="F22">
        <v>279.95</v>
      </c>
      <c r="G22">
        <v>2</v>
      </c>
      <c r="H22" s="5">
        <v>0.14285714285714285</v>
      </c>
      <c r="I22">
        <v>1432.23</v>
      </c>
      <c r="J22">
        <v>2</v>
      </c>
      <c r="K22" s="5">
        <v>5.1699999999999996E-2</v>
      </c>
    </row>
    <row r="23" spans="1:11" x14ac:dyDescent="0.35">
      <c r="A23" t="s">
        <v>22</v>
      </c>
      <c r="B23" t="s">
        <v>1</v>
      </c>
      <c r="C23" s="4">
        <v>45292</v>
      </c>
      <c r="D23">
        <v>96</v>
      </c>
      <c r="E23">
        <v>6</v>
      </c>
      <c r="F23">
        <v>532.83000000000004</v>
      </c>
      <c r="G23">
        <v>1</v>
      </c>
      <c r="H23" s="5">
        <v>0.16666666666666666</v>
      </c>
      <c r="I23">
        <v>3173.13</v>
      </c>
      <c r="J23">
        <v>1</v>
      </c>
      <c r="K23" s="5">
        <v>2.8300000000000002E-2</v>
      </c>
    </row>
    <row r="24" spans="1:11" x14ac:dyDescent="0.35">
      <c r="A24" t="s">
        <v>23</v>
      </c>
      <c r="B24" t="s">
        <v>1</v>
      </c>
      <c r="C24" s="4">
        <v>45292</v>
      </c>
      <c r="D24">
        <v>63</v>
      </c>
      <c r="E24">
        <v>8</v>
      </c>
      <c r="F24">
        <v>170.49</v>
      </c>
      <c r="G24">
        <v>7</v>
      </c>
      <c r="H24" s="5">
        <v>0.875</v>
      </c>
      <c r="I24">
        <v>526.12</v>
      </c>
      <c r="J24">
        <v>3</v>
      </c>
      <c r="K24" s="5">
        <v>8.3499999999999991E-2</v>
      </c>
    </row>
    <row r="25" spans="1:11" x14ac:dyDescent="0.35">
      <c r="A25" t="s">
        <v>24</v>
      </c>
      <c r="B25" t="s">
        <v>25</v>
      </c>
      <c r="C25" s="4">
        <v>45292</v>
      </c>
      <c r="D25">
        <v>92</v>
      </c>
      <c r="E25">
        <v>13</v>
      </c>
      <c r="F25">
        <v>422.39</v>
      </c>
      <c r="G25">
        <v>1</v>
      </c>
      <c r="H25" s="5">
        <v>7.6923076923076927E-2</v>
      </c>
      <c r="I25">
        <v>2695.84</v>
      </c>
      <c r="J25">
        <v>2</v>
      </c>
      <c r="K25" s="5">
        <v>2.46E-2</v>
      </c>
    </row>
    <row r="26" spans="1:11" x14ac:dyDescent="0.35">
      <c r="A26" t="s">
        <v>26</v>
      </c>
      <c r="B26" t="s">
        <v>25</v>
      </c>
      <c r="C26" s="4">
        <v>45292</v>
      </c>
      <c r="D26">
        <v>38</v>
      </c>
      <c r="E26">
        <v>10</v>
      </c>
      <c r="F26">
        <v>514.25</v>
      </c>
      <c r="G26">
        <v>4</v>
      </c>
      <c r="H26" s="5">
        <v>0.4</v>
      </c>
      <c r="I26">
        <v>243.62</v>
      </c>
      <c r="J26">
        <v>1</v>
      </c>
      <c r="K26" s="5">
        <v>6.4399999999999999E-2</v>
      </c>
    </row>
    <row r="27" spans="1:11" x14ac:dyDescent="0.35">
      <c r="A27" t="s">
        <v>27</v>
      </c>
      <c r="B27" t="s">
        <v>25</v>
      </c>
      <c r="C27" s="4">
        <v>45292</v>
      </c>
      <c r="D27">
        <v>43</v>
      </c>
      <c r="E27">
        <v>15</v>
      </c>
      <c r="F27">
        <v>363.48</v>
      </c>
      <c r="G27">
        <v>7</v>
      </c>
      <c r="H27" s="5">
        <v>0.46666666666666667</v>
      </c>
      <c r="I27">
        <v>3843.52</v>
      </c>
      <c r="J27">
        <v>3</v>
      </c>
      <c r="K27" s="5">
        <v>8.3400000000000002E-2</v>
      </c>
    </row>
    <row r="28" spans="1:11" x14ac:dyDescent="0.35">
      <c r="A28" t="s">
        <v>0</v>
      </c>
      <c r="B28" t="s">
        <v>25</v>
      </c>
      <c r="C28" s="4">
        <v>45323</v>
      </c>
      <c r="D28">
        <v>62</v>
      </c>
      <c r="E28">
        <v>15</v>
      </c>
      <c r="F28">
        <v>361.38</v>
      </c>
      <c r="G28">
        <v>6</v>
      </c>
      <c r="H28" s="5">
        <v>0.4</v>
      </c>
      <c r="I28">
        <v>4195.1400000000003</v>
      </c>
      <c r="J28">
        <v>2</v>
      </c>
      <c r="K28" s="5">
        <v>2.75E-2</v>
      </c>
    </row>
    <row r="29" spans="1:11" x14ac:dyDescent="0.35">
      <c r="A29" t="s">
        <v>2</v>
      </c>
      <c r="B29" t="s">
        <v>25</v>
      </c>
      <c r="C29" s="4">
        <v>45323</v>
      </c>
      <c r="D29">
        <v>81</v>
      </c>
      <c r="E29">
        <v>14</v>
      </c>
      <c r="F29">
        <v>362.96</v>
      </c>
      <c r="G29">
        <v>5</v>
      </c>
      <c r="H29" s="5">
        <v>0.35714285714285715</v>
      </c>
      <c r="I29">
        <v>3620.19</v>
      </c>
      <c r="J29">
        <v>1</v>
      </c>
      <c r="K29" s="5">
        <v>4.0800000000000003E-2</v>
      </c>
    </row>
    <row r="30" spans="1:11" x14ac:dyDescent="0.35">
      <c r="A30" t="s">
        <v>3</v>
      </c>
      <c r="B30" t="s">
        <v>25</v>
      </c>
      <c r="C30" s="4">
        <v>45323</v>
      </c>
      <c r="D30">
        <v>52</v>
      </c>
      <c r="E30">
        <v>14</v>
      </c>
      <c r="F30">
        <v>382.59</v>
      </c>
      <c r="G30">
        <v>3</v>
      </c>
      <c r="H30" s="5">
        <v>0.21428571428571427</v>
      </c>
      <c r="I30">
        <v>3394.39</v>
      </c>
      <c r="J30">
        <v>3</v>
      </c>
      <c r="K30" s="5">
        <v>4.5599999999999995E-2</v>
      </c>
    </row>
    <row r="31" spans="1:11" x14ac:dyDescent="0.35">
      <c r="A31" t="s">
        <v>4</v>
      </c>
      <c r="B31" t="s">
        <v>25</v>
      </c>
      <c r="C31" s="4">
        <v>45323</v>
      </c>
      <c r="D31">
        <v>22</v>
      </c>
      <c r="E31">
        <v>7</v>
      </c>
      <c r="F31">
        <v>79.459999999999994</v>
      </c>
      <c r="G31">
        <v>3</v>
      </c>
      <c r="H31" s="5">
        <v>0.42857142857142855</v>
      </c>
      <c r="I31">
        <v>1638.74</v>
      </c>
      <c r="J31">
        <v>2</v>
      </c>
      <c r="K31" s="5">
        <v>3.04E-2</v>
      </c>
    </row>
    <row r="32" spans="1:11" x14ac:dyDescent="0.35">
      <c r="A32" t="s">
        <v>5</v>
      </c>
      <c r="B32" t="s">
        <v>25</v>
      </c>
      <c r="C32" s="4">
        <v>45323</v>
      </c>
      <c r="D32">
        <v>93</v>
      </c>
      <c r="E32">
        <v>11</v>
      </c>
      <c r="F32">
        <v>446.3</v>
      </c>
      <c r="G32">
        <v>5</v>
      </c>
      <c r="H32" s="5">
        <v>0.45454545454545453</v>
      </c>
      <c r="I32">
        <v>1057.1400000000001</v>
      </c>
      <c r="J32">
        <v>1</v>
      </c>
      <c r="K32" s="5">
        <v>3.6900000000000002E-2</v>
      </c>
    </row>
    <row r="33" spans="1:11" x14ac:dyDescent="0.35">
      <c r="A33" t="s">
        <v>6</v>
      </c>
      <c r="B33" t="s">
        <v>25</v>
      </c>
      <c r="C33" s="4">
        <v>45323</v>
      </c>
      <c r="D33">
        <v>65</v>
      </c>
      <c r="E33">
        <v>7</v>
      </c>
      <c r="F33">
        <v>461.67</v>
      </c>
      <c r="G33">
        <v>2</v>
      </c>
      <c r="H33" s="5">
        <v>0.2857142857142857</v>
      </c>
      <c r="I33">
        <v>3486.23</v>
      </c>
      <c r="J33">
        <v>3</v>
      </c>
      <c r="K33" s="5">
        <v>1.1200000000000002E-2</v>
      </c>
    </row>
    <row r="34" spans="1:11" x14ac:dyDescent="0.35">
      <c r="A34" t="s">
        <v>7</v>
      </c>
      <c r="B34" t="s">
        <v>25</v>
      </c>
      <c r="C34" s="4">
        <v>45323</v>
      </c>
      <c r="D34">
        <v>90</v>
      </c>
      <c r="E34">
        <v>20</v>
      </c>
      <c r="F34">
        <v>328.63</v>
      </c>
      <c r="G34">
        <v>3</v>
      </c>
      <c r="H34" s="5">
        <v>0.15</v>
      </c>
      <c r="I34">
        <v>2662.44</v>
      </c>
      <c r="J34">
        <v>2</v>
      </c>
      <c r="K34" s="5">
        <v>0.10640000000000001</v>
      </c>
    </row>
    <row r="35" spans="1:11" x14ac:dyDescent="0.35">
      <c r="A35" t="s">
        <v>8</v>
      </c>
      <c r="B35" t="s">
        <v>25</v>
      </c>
      <c r="C35" s="4">
        <v>45323</v>
      </c>
      <c r="D35">
        <v>48</v>
      </c>
      <c r="E35">
        <v>7</v>
      </c>
      <c r="F35">
        <v>247.66</v>
      </c>
      <c r="G35">
        <v>6</v>
      </c>
      <c r="H35" s="5">
        <v>0.8571428571428571</v>
      </c>
      <c r="I35">
        <v>4335.84</v>
      </c>
      <c r="J35">
        <v>1</v>
      </c>
      <c r="K35" s="5">
        <v>3.9900000000000005E-2</v>
      </c>
    </row>
    <row r="36" spans="1:11" x14ac:dyDescent="0.35">
      <c r="A36" t="s">
        <v>9</v>
      </c>
      <c r="B36" t="s">
        <v>25</v>
      </c>
      <c r="C36" s="4">
        <v>45323</v>
      </c>
      <c r="D36">
        <v>37</v>
      </c>
      <c r="E36">
        <v>17</v>
      </c>
      <c r="F36">
        <v>378.61</v>
      </c>
      <c r="G36">
        <v>10</v>
      </c>
      <c r="H36" s="5">
        <v>0.58823529411764708</v>
      </c>
      <c r="I36">
        <v>1295.07</v>
      </c>
      <c r="J36">
        <v>3</v>
      </c>
      <c r="K36" s="5">
        <v>5.6299999999999996E-2</v>
      </c>
    </row>
    <row r="37" spans="1:11" x14ac:dyDescent="0.35">
      <c r="A37" t="s">
        <v>10</v>
      </c>
      <c r="B37" t="s">
        <v>25</v>
      </c>
      <c r="C37" s="4">
        <v>45323</v>
      </c>
      <c r="D37">
        <v>68</v>
      </c>
      <c r="E37">
        <v>16</v>
      </c>
      <c r="F37">
        <v>299.58999999999997</v>
      </c>
      <c r="G37">
        <v>9</v>
      </c>
      <c r="H37" s="5">
        <v>0.5625</v>
      </c>
      <c r="I37">
        <v>979.47</v>
      </c>
      <c r="J37">
        <v>2</v>
      </c>
      <c r="K37" s="5">
        <v>3.6900000000000002E-2</v>
      </c>
    </row>
    <row r="38" spans="1:11" x14ac:dyDescent="0.35">
      <c r="A38" t="s">
        <v>11</v>
      </c>
      <c r="B38" t="s">
        <v>25</v>
      </c>
      <c r="C38" s="4">
        <v>45323</v>
      </c>
      <c r="D38">
        <v>20</v>
      </c>
      <c r="E38">
        <v>9</v>
      </c>
      <c r="F38">
        <v>202.4</v>
      </c>
      <c r="G38">
        <v>7</v>
      </c>
      <c r="H38" s="5">
        <v>0.77777777777777779</v>
      </c>
      <c r="I38">
        <v>732.99</v>
      </c>
      <c r="J38">
        <v>1</v>
      </c>
      <c r="K38" s="5">
        <v>7.9000000000000001E-2</v>
      </c>
    </row>
    <row r="39" spans="1:11" x14ac:dyDescent="0.35">
      <c r="A39" t="s">
        <v>12</v>
      </c>
      <c r="B39" t="s">
        <v>25</v>
      </c>
      <c r="C39" s="4">
        <v>45323</v>
      </c>
      <c r="D39">
        <v>35</v>
      </c>
      <c r="E39">
        <v>6</v>
      </c>
      <c r="F39">
        <v>568.38</v>
      </c>
      <c r="G39">
        <v>6</v>
      </c>
      <c r="H39" s="5">
        <v>1</v>
      </c>
      <c r="I39">
        <v>3949.69</v>
      </c>
      <c r="J39">
        <v>1</v>
      </c>
      <c r="K39" s="5">
        <v>3.7499999999999999E-2</v>
      </c>
    </row>
    <row r="40" spans="1:11" x14ac:dyDescent="0.35">
      <c r="A40" t="s">
        <v>13</v>
      </c>
      <c r="B40" t="s">
        <v>25</v>
      </c>
      <c r="C40" s="4">
        <v>45323</v>
      </c>
      <c r="D40">
        <v>68</v>
      </c>
      <c r="E40">
        <v>21</v>
      </c>
      <c r="F40">
        <v>553.08000000000004</v>
      </c>
      <c r="G40">
        <v>3</v>
      </c>
      <c r="H40" s="5">
        <v>0.14285714285714285</v>
      </c>
      <c r="I40">
        <v>360.7</v>
      </c>
      <c r="J40">
        <v>3</v>
      </c>
      <c r="K40" s="5">
        <v>3.3399999999999999E-2</v>
      </c>
    </row>
    <row r="41" spans="1:11" x14ac:dyDescent="0.35">
      <c r="A41" t="s">
        <v>14</v>
      </c>
      <c r="B41" t="s">
        <v>25</v>
      </c>
      <c r="C41" s="4">
        <v>45323</v>
      </c>
      <c r="D41">
        <v>30</v>
      </c>
      <c r="E41">
        <v>8</v>
      </c>
      <c r="F41">
        <v>223.22</v>
      </c>
      <c r="G41">
        <v>2</v>
      </c>
      <c r="H41" s="5">
        <v>0.25</v>
      </c>
      <c r="I41">
        <v>3595.12</v>
      </c>
      <c r="J41">
        <v>2</v>
      </c>
      <c r="K41" s="5">
        <v>4.3400000000000001E-2</v>
      </c>
    </row>
    <row r="42" spans="1:11" x14ac:dyDescent="0.35">
      <c r="A42" t="s">
        <v>15</v>
      </c>
      <c r="B42" t="s">
        <v>25</v>
      </c>
      <c r="C42" s="4">
        <v>45323</v>
      </c>
      <c r="D42">
        <v>69</v>
      </c>
      <c r="E42">
        <v>8</v>
      </c>
      <c r="F42">
        <v>199.93</v>
      </c>
      <c r="G42">
        <v>2</v>
      </c>
      <c r="H42" s="5">
        <v>0.25</v>
      </c>
      <c r="I42">
        <v>610.66</v>
      </c>
      <c r="J42">
        <v>1</v>
      </c>
      <c r="K42" s="5">
        <v>2.8199999999999999E-2</v>
      </c>
    </row>
    <row r="43" spans="1:11" x14ac:dyDescent="0.35">
      <c r="A43" t="s">
        <v>16</v>
      </c>
      <c r="B43" t="s">
        <v>25</v>
      </c>
      <c r="C43" s="4">
        <v>45323</v>
      </c>
      <c r="D43">
        <v>92</v>
      </c>
      <c r="E43">
        <v>6</v>
      </c>
      <c r="F43">
        <v>180.46</v>
      </c>
      <c r="G43">
        <v>5</v>
      </c>
      <c r="H43" s="5">
        <v>0.83333333333333337</v>
      </c>
      <c r="I43">
        <v>1173.27</v>
      </c>
      <c r="J43">
        <v>3</v>
      </c>
      <c r="K43" s="5">
        <v>7.5300000000000006E-2</v>
      </c>
    </row>
    <row r="44" spans="1:11" x14ac:dyDescent="0.35">
      <c r="A44" t="s">
        <v>17</v>
      </c>
      <c r="B44" t="s">
        <v>25</v>
      </c>
      <c r="C44" s="4">
        <v>45323</v>
      </c>
      <c r="D44">
        <v>92</v>
      </c>
      <c r="E44">
        <v>7</v>
      </c>
      <c r="F44">
        <v>80.12</v>
      </c>
      <c r="G44">
        <v>6</v>
      </c>
      <c r="H44" s="5">
        <v>0.8571428571428571</v>
      </c>
      <c r="I44">
        <v>3794.02</v>
      </c>
      <c r="J44">
        <v>2</v>
      </c>
      <c r="K44" s="5">
        <v>9.5000000000000001E-2</v>
      </c>
    </row>
    <row r="45" spans="1:11" x14ac:dyDescent="0.35">
      <c r="A45" t="s">
        <v>18</v>
      </c>
      <c r="B45" t="s">
        <v>25</v>
      </c>
      <c r="C45" s="4">
        <v>45323</v>
      </c>
      <c r="D45">
        <v>21</v>
      </c>
      <c r="E45">
        <v>14</v>
      </c>
      <c r="F45">
        <v>563.79</v>
      </c>
      <c r="G45">
        <v>8</v>
      </c>
      <c r="H45" s="5">
        <v>0.5714285714285714</v>
      </c>
      <c r="I45">
        <v>3616.21</v>
      </c>
      <c r="J45">
        <v>1</v>
      </c>
      <c r="K45" s="5">
        <v>3.61E-2</v>
      </c>
    </row>
    <row r="46" spans="1:11" x14ac:dyDescent="0.35">
      <c r="A46" t="s">
        <v>19</v>
      </c>
      <c r="B46" t="s">
        <v>25</v>
      </c>
      <c r="C46" s="4">
        <v>45323</v>
      </c>
      <c r="D46">
        <v>83</v>
      </c>
      <c r="E46">
        <v>20</v>
      </c>
      <c r="F46">
        <v>193.39</v>
      </c>
      <c r="G46">
        <v>5</v>
      </c>
      <c r="H46" s="5">
        <v>0.25</v>
      </c>
      <c r="I46">
        <v>402.53</v>
      </c>
      <c r="J46">
        <v>3</v>
      </c>
      <c r="K46" s="5">
        <v>0.1013</v>
      </c>
    </row>
    <row r="47" spans="1:11" x14ac:dyDescent="0.35">
      <c r="A47" t="s">
        <v>20</v>
      </c>
      <c r="B47" t="s">
        <v>25</v>
      </c>
      <c r="C47" s="4">
        <v>45323</v>
      </c>
      <c r="D47">
        <v>57</v>
      </c>
      <c r="E47">
        <v>11</v>
      </c>
      <c r="F47">
        <v>454.77</v>
      </c>
      <c r="G47">
        <v>1</v>
      </c>
      <c r="H47" s="5">
        <v>9.0909090909090912E-2</v>
      </c>
      <c r="I47">
        <v>1152.4100000000001</v>
      </c>
      <c r="J47">
        <v>2</v>
      </c>
      <c r="K47" s="5">
        <v>1E-3</v>
      </c>
    </row>
    <row r="48" spans="1:11" x14ac:dyDescent="0.35">
      <c r="A48" t="s">
        <v>21</v>
      </c>
      <c r="B48" t="s">
        <v>25</v>
      </c>
      <c r="C48" s="4">
        <v>45323</v>
      </c>
      <c r="D48">
        <v>22</v>
      </c>
      <c r="E48">
        <v>17</v>
      </c>
      <c r="F48">
        <v>291.97000000000003</v>
      </c>
      <c r="G48">
        <v>1</v>
      </c>
      <c r="H48" s="5">
        <v>5.8823529411764705E-2</v>
      </c>
      <c r="I48">
        <v>1703.6</v>
      </c>
      <c r="J48">
        <v>1</v>
      </c>
      <c r="K48" s="5">
        <v>5.21E-2</v>
      </c>
    </row>
    <row r="49" spans="1:11" x14ac:dyDescent="0.35">
      <c r="A49" t="s">
        <v>22</v>
      </c>
      <c r="B49" t="s">
        <v>25</v>
      </c>
      <c r="C49" s="4">
        <v>45323</v>
      </c>
      <c r="D49">
        <v>78</v>
      </c>
      <c r="E49">
        <v>5</v>
      </c>
      <c r="F49">
        <v>553.86</v>
      </c>
      <c r="G49">
        <v>1</v>
      </c>
      <c r="H49" s="5">
        <v>0.2</v>
      </c>
      <c r="I49">
        <v>3503.57</v>
      </c>
      <c r="J49">
        <v>3</v>
      </c>
      <c r="K49" s="5">
        <v>3.1300000000000001E-2</v>
      </c>
    </row>
    <row r="50" spans="1:11" x14ac:dyDescent="0.35">
      <c r="A50" t="s">
        <v>23</v>
      </c>
      <c r="B50" t="s">
        <v>25</v>
      </c>
      <c r="C50" s="4">
        <v>45323</v>
      </c>
      <c r="D50">
        <v>68</v>
      </c>
      <c r="E50">
        <v>7</v>
      </c>
      <c r="F50">
        <v>171.76</v>
      </c>
      <c r="G50">
        <v>7</v>
      </c>
      <c r="H50" s="5">
        <v>1</v>
      </c>
      <c r="I50">
        <v>548.36</v>
      </c>
      <c r="J50">
        <v>2</v>
      </c>
      <c r="K50" s="5">
        <v>8.2500000000000004E-2</v>
      </c>
    </row>
    <row r="51" spans="1:11" x14ac:dyDescent="0.35">
      <c r="A51" t="s">
        <v>24</v>
      </c>
      <c r="B51" t="s">
        <v>25</v>
      </c>
      <c r="C51" s="4">
        <v>45323</v>
      </c>
      <c r="D51">
        <v>83</v>
      </c>
      <c r="E51">
        <v>16</v>
      </c>
      <c r="F51">
        <v>382.21</v>
      </c>
      <c r="G51">
        <v>1</v>
      </c>
      <c r="H51" s="5">
        <v>6.25E-2</v>
      </c>
      <c r="I51">
        <v>3017.43</v>
      </c>
      <c r="J51">
        <v>3</v>
      </c>
      <c r="K51" s="5">
        <v>2.4199999999999999E-2</v>
      </c>
    </row>
    <row r="52" spans="1:11" x14ac:dyDescent="0.35">
      <c r="A52" t="s">
        <v>26</v>
      </c>
      <c r="B52" t="s">
        <v>25</v>
      </c>
      <c r="C52" s="4">
        <v>45323</v>
      </c>
      <c r="D52">
        <v>31</v>
      </c>
      <c r="E52">
        <v>11</v>
      </c>
      <c r="F52">
        <v>562.73</v>
      </c>
      <c r="G52">
        <v>4</v>
      </c>
      <c r="H52" s="5">
        <v>0.36363636363636365</v>
      </c>
      <c r="I52">
        <v>221.94</v>
      </c>
      <c r="J52">
        <v>2</v>
      </c>
      <c r="K52" s="5">
        <v>6.7400000000000002E-2</v>
      </c>
    </row>
    <row r="53" spans="1:11" x14ac:dyDescent="0.35">
      <c r="A53" t="s">
        <v>27</v>
      </c>
      <c r="B53" t="s">
        <v>25</v>
      </c>
      <c r="C53" s="4">
        <v>45323</v>
      </c>
      <c r="D53">
        <v>34</v>
      </c>
      <c r="E53">
        <v>17</v>
      </c>
      <c r="F53">
        <v>380.37</v>
      </c>
      <c r="G53">
        <v>7</v>
      </c>
      <c r="H53" s="5">
        <v>0.41176470588235292</v>
      </c>
      <c r="I53">
        <v>4183.2700000000004</v>
      </c>
      <c r="J53">
        <v>1</v>
      </c>
      <c r="K53" s="5">
        <v>8.8699999999999987E-2</v>
      </c>
    </row>
    <row r="54" spans="1:11" x14ac:dyDescent="0.35">
      <c r="A54" t="s">
        <v>0</v>
      </c>
      <c r="B54" t="s">
        <v>25</v>
      </c>
      <c r="C54" s="4">
        <v>45352</v>
      </c>
      <c r="D54">
        <v>55</v>
      </c>
      <c r="E54">
        <v>17</v>
      </c>
      <c r="F54">
        <v>315.62</v>
      </c>
      <c r="G54">
        <v>5</v>
      </c>
      <c r="H54" s="5">
        <v>0.29411764705882354</v>
      </c>
      <c r="I54">
        <v>3890.73</v>
      </c>
      <c r="J54">
        <v>3</v>
      </c>
      <c r="K54" s="5">
        <v>2.8799999999999999E-2</v>
      </c>
    </row>
    <row r="55" spans="1:11" x14ac:dyDescent="0.35">
      <c r="A55" t="s">
        <v>2</v>
      </c>
      <c r="B55" t="s">
        <v>25</v>
      </c>
      <c r="C55" s="4">
        <v>45352</v>
      </c>
      <c r="D55">
        <v>91</v>
      </c>
      <c r="E55">
        <v>10</v>
      </c>
      <c r="F55">
        <v>361.58</v>
      </c>
      <c r="G55">
        <v>4</v>
      </c>
      <c r="H55" s="5">
        <v>0.4</v>
      </c>
      <c r="I55">
        <v>3674.37</v>
      </c>
      <c r="J55">
        <v>2</v>
      </c>
      <c r="K55" s="5">
        <v>4.0800000000000003E-2</v>
      </c>
    </row>
    <row r="56" spans="1:11" x14ac:dyDescent="0.35">
      <c r="A56" t="s">
        <v>3</v>
      </c>
      <c r="B56" t="s">
        <v>25</v>
      </c>
      <c r="C56" s="4">
        <v>45352</v>
      </c>
      <c r="D56">
        <v>59</v>
      </c>
      <c r="E56">
        <v>13</v>
      </c>
      <c r="F56">
        <v>402.9</v>
      </c>
      <c r="G56">
        <v>2</v>
      </c>
      <c r="H56" s="5">
        <v>0.15384615384615385</v>
      </c>
      <c r="I56">
        <v>3357.27</v>
      </c>
      <c r="J56">
        <v>1</v>
      </c>
      <c r="K56" s="5">
        <v>4.2599999999999999E-2</v>
      </c>
    </row>
    <row r="57" spans="1:11" x14ac:dyDescent="0.35">
      <c r="A57" t="s">
        <v>4</v>
      </c>
      <c r="B57" t="s">
        <v>25</v>
      </c>
      <c r="C57" s="4">
        <v>45352</v>
      </c>
      <c r="D57">
        <v>19</v>
      </c>
      <c r="E57">
        <v>6</v>
      </c>
      <c r="F57">
        <v>82.65</v>
      </c>
      <c r="G57">
        <v>3</v>
      </c>
      <c r="H57" s="5">
        <v>0.5</v>
      </c>
      <c r="I57">
        <v>1469.62</v>
      </c>
      <c r="J57">
        <v>3</v>
      </c>
      <c r="K57" s="5">
        <v>3.0699999999999998E-2</v>
      </c>
    </row>
    <row r="58" spans="1:11" x14ac:dyDescent="0.35">
      <c r="A58" t="s">
        <v>5</v>
      </c>
      <c r="B58" t="s">
        <v>25</v>
      </c>
      <c r="C58" s="4">
        <v>45352</v>
      </c>
      <c r="D58">
        <v>77</v>
      </c>
      <c r="E58">
        <v>14</v>
      </c>
      <c r="F58">
        <v>494.43</v>
      </c>
      <c r="G58">
        <v>4</v>
      </c>
      <c r="H58" s="5">
        <v>0.2857142857142857</v>
      </c>
      <c r="I58">
        <v>963.35</v>
      </c>
      <c r="J58">
        <v>2</v>
      </c>
      <c r="K58" s="5">
        <v>3.6699999999999997E-2</v>
      </c>
    </row>
    <row r="59" spans="1:11" x14ac:dyDescent="0.35">
      <c r="A59" t="s">
        <v>6</v>
      </c>
      <c r="B59" t="s">
        <v>25</v>
      </c>
      <c r="C59" s="4">
        <v>45352</v>
      </c>
      <c r="D59">
        <v>50</v>
      </c>
      <c r="E59">
        <v>8</v>
      </c>
      <c r="F59">
        <v>512.92999999999995</v>
      </c>
      <c r="G59">
        <v>3</v>
      </c>
      <c r="H59" s="5">
        <v>0.375</v>
      </c>
      <c r="I59">
        <v>3725.66</v>
      </c>
      <c r="J59">
        <v>1</v>
      </c>
      <c r="K59" s="5">
        <v>1.1599999999999999E-2</v>
      </c>
    </row>
    <row r="60" spans="1:11" x14ac:dyDescent="0.35">
      <c r="A60" t="s">
        <v>7</v>
      </c>
      <c r="B60" t="s">
        <v>25</v>
      </c>
      <c r="C60" s="4">
        <v>45352</v>
      </c>
      <c r="D60">
        <v>88</v>
      </c>
      <c r="E60">
        <v>18</v>
      </c>
      <c r="F60">
        <v>291.04000000000002</v>
      </c>
      <c r="G60">
        <v>2</v>
      </c>
      <c r="H60" s="5">
        <v>0.1111111111111111</v>
      </c>
      <c r="I60">
        <v>2619.84</v>
      </c>
      <c r="J60">
        <v>3</v>
      </c>
      <c r="K60" s="5">
        <v>0.10550000000000001</v>
      </c>
    </row>
    <row r="61" spans="1:11" x14ac:dyDescent="0.35">
      <c r="A61" t="s">
        <v>8</v>
      </c>
      <c r="B61" t="s">
        <v>25</v>
      </c>
      <c r="C61" s="4">
        <v>45352</v>
      </c>
      <c r="D61">
        <v>62</v>
      </c>
      <c r="E61">
        <v>9</v>
      </c>
      <c r="F61">
        <v>252.77</v>
      </c>
      <c r="G61">
        <v>7</v>
      </c>
      <c r="H61" s="5">
        <v>0.77777777777777779</v>
      </c>
      <c r="I61">
        <v>4641.6099999999997</v>
      </c>
      <c r="J61">
        <v>2</v>
      </c>
      <c r="K61" s="5">
        <v>4.0800000000000003E-2</v>
      </c>
    </row>
    <row r="62" spans="1:11" x14ac:dyDescent="0.35">
      <c r="A62" t="s">
        <v>9</v>
      </c>
      <c r="B62" t="s">
        <v>25</v>
      </c>
      <c r="C62" s="4">
        <v>45352</v>
      </c>
      <c r="D62">
        <v>33</v>
      </c>
      <c r="E62">
        <v>18</v>
      </c>
      <c r="F62">
        <v>348.57</v>
      </c>
      <c r="G62">
        <v>8</v>
      </c>
      <c r="H62" s="5">
        <v>0.44444444444444442</v>
      </c>
      <c r="I62">
        <v>1169.6400000000001</v>
      </c>
      <c r="J62">
        <v>1</v>
      </c>
      <c r="K62" s="5">
        <v>5.4800000000000001E-2</v>
      </c>
    </row>
    <row r="63" spans="1:11" x14ac:dyDescent="0.35">
      <c r="A63" t="s">
        <v>10</v>
      </c>
      <c r="B63" t="s">
        <v>25</v>
      </c>
      <c r="C63" s="4">
        <v>45352</v>
      </c>
      <c r="D63">
        <v>54</v>
      </c>
      <c r="E63">
        <v>15</v>
      </c>
      <c r="F63">
        <v>321.99</v>
      </c>
      <c r="G63">
        <v>8</v>
      </c>
      <c r="H63" s="5">
        <v>0.53333333333333333</v>
      </c>
      <c r="I63">
        <v>1080.0899999999999</v>
      </c>
      <c r="J63">
        <v>1</v>
      </c>
      <c r="K63" s="5">
        <v>3.5499999999999997E-2</v>
      </c>
    </row>
    <row r="64" spans="1:11" x14ac:dyDescent="0.35">
      <c r="A64" t="s">
        <v>11</v>
      </c>
      <c r="B64" t="s">
        <v>25</v>
      </c>
      <c r="C64" s="4">
        <v>45352</v>
      </c>
      <c r="D64">
        <v>16</v>
      </c>
      <c r="E64">
        <v>9</v>
      </c>
      <c r="F64">
        <v>199.87</v>
      </c>
      <c r="G64">
        <v>9</v>
      </c>
      <c r="H64" s="5">
        <v>1</v>
      </c>
      <c r="I64">
        <v>818.64</v>
      </c>
      <c r="J64">
        <v>3</v>
      </c>
      <c r="K64" s="5">
        <v>7.46E-2</v>
      </c>
    </row>
    <row r="65" spans="1:11" x14ac:dyDescent="0.35">
      <c r="A65" t="s">
        <v>12</v>
      </c>
      <c r="B65" t="s">
        <v>25</v>
      </c>
      <c r="C65" s="4">
        <v>45352</v>
      </c>
      <c r="D65">
        <v>30</v>
      </c>
      <c r="E65">
        <v>5</v>
      </c>
      <c r="F65">
        <v>565.19000000000005</v>
      </c>
      <c r="G65">
        <v>4</v>
      </c>
      <c r="H65" s="5">
        <v>0.8</v>
      </c>
      <c r="I65">
        <v>3621.51</v>
      </c>
      <c r="J65">
        <v>2</v>
      </c>
      <c r="K65" s="5">
        <v>4.3099999999999999E-2</v>
      </c>
    </row>
    <row r="66" spans="1:11" x14ac:dyDescent="0.35">
      <c r="A66" t="s">
        <v>13</v>
      </c>
      <c r="B66" t="s">
        <v>25</v>
      </c>
      <c r="C66" s="4">
        <v>45352</v>
      </c>
      <c r="D66">
        <v>68</v>
      </c>
      <c r="E66">
        <v>19</v>
      </c>
      <c r="F66">
        <v>623.25</v>
      </c>
      <c r="G66">
        <v>3</v>
      </c>
      <c r="H66" s="5">
        <v>0.15789473684210525</v>
      </c>
      <c r="I66">
        <v>355.96</v>
      </c>
      <c r="J66">
        <v>1</v>
      </c>
      <c r="K66" s="5">
        <v>3.6299999999999999E-2</v>
      </c>
    </row>
    <row r="67" spans="1:11" x14ac:dyDescent="0.35">
      <c r="A67" t="s">
        <v>14</v>
      </c>
      <c r="B67" t="s">
        <v>25</v>
      </c>
      <c r="C67" s="4">
        <v>45352</v>
      </c>
      <c r="D67">
        <v>31</v>
      </c>
      <c r="E67">
        <v>9</v>
      </c>
      <c r="F67">
        <v>209.18</v>
      </c>
      <c r="G67">
        <v>2</v>
      </c>
      <c r="H67" s="5">
        <v>0.22222222222222221</v>
      </c>
      <c r="I67">
        <v>4153.3100000000004</v>
      </c>
      <c r="J67">
        <v>3</v>
      </c>
      <c r="K67" s="5">
        <v>4.0399999999999998E-2</v>
      </c>
    </row>
    <row r="68" spans="1:11" x14ac:dyDescent="0.35">
      <c r="A68" t="s">
        <v>15</v>
      </c>
      <c r="B68" t="s">
        <v>25</v>
      </c>
      <c r="C68" s="4">
        <v>45352</v>
      </c>
      <c r="D68">
        <v>61</v>
      </c>
      <c r="E68">
        <v>7</v>
      </c>
      <c r="F68">
        <v>190.5</v>
      </c>
      <c r="G68">
        <v>3</v>
      </c>
      <c r="H68" s="5">
        <v>0.42857142857142855</v>
      </c>
      <c r="I68">
        <v>661.2</v>
      </c>
      <c r="J68">
        <v>2</v>
      </c>
      <c r="K68" s="5">
        <v>2.7699999999999999E-2</v>
      </c>
    </row>
    <row r="69" spans="1:11" x14ac:dyDescent="0.35">
      <c r="A69" t="s">
        <v>16</v>
      </c>
      <c r="B69" t="s">
        <v>25</v>
      </c>
      <c r="C69" s="4">
        <v>45352</v>
      </c>
      <c r="D69">
        <v>83</v>
      </c>
      <c r="E69">
        <v>5</v>
      </c>
      <c r="F69">
        <v>170.12</v>
      </c>
      <c r="G69">
        <v>3</v>
      </c>
      <c r="H69" s="5">
        <v>0.6</v>
      </c>
      <c r="I69">
        <v>1171.95</v>
      </c>
      <c r="J69">
        <v>1</v>
      </c>
      <c r="K69" s="5">
        <v>7.690000000000001E-2</v>
      </c>
    </row>
    <row r="70" spans="1:11" x14ac:dyDescent="0.35">
      <c r="A70" t="s">
        <v>17</v>
      </c>
      <c r="B70" t="s">
        <v>25</v>
      </c>
      <c r="C70" s="4">
        <v>45352</v>
      </c>
      <c r="D70">
        <v>74</v>
      </c>
      <c r="E70">
        <v>7</v>
      </c>
      <c r="F70">
        <v>87.89</v>
      </c>
      <c r="G70">
        <v>7</v>
      </c>
      <c r="H70" s="5">
        <v>1</v>
      </c>
      <c r="I70">
        <v>3848.14</v>
      </c>
      <c r="J70">
        <v>3</v>
      </c>
      <c r="K70" s="5">
        <v>8.6699999999999999E-2</v>
      </c>
    </row>
    <row r="71" spans="1:11" x14ac:dyDescent="0.35">
      <c r="A71" t="s">
        <v>18</v>
      </c>
      <c r="B71" t="s">
        <v>25</v>
      </c>
      <c r="C71" s="4">
        <v>45352</v>
      </c>
      <c r="D71">
        <v>21</v>
      </c>
      <c r="E71">
        <v>14</v>
      </c>
      <c r="F71">
        <v>498.82</v>
      </c>
      <c r="G71">
        <v>5</v>
      </c>
      <c r="H71" s="5">
        <v>0.35714285714285715</v>
      </c>
      <c r="I71">
        <v>4039.26</v>
      </c>
      <c r="J71">
        <v>2</v>
      </c>
      <c r="K71" s="5">
        <v>3.4000000000000002E-2</v>
      </c>
    </row>
    <row r="72" spans="1:11" x14ac:dyDescent="0.35">
      <c r="A72" t="s">
        <v>19</v>
      </c>
      <c r="B72" t="s">
        <v>28</v>
      </c>
      <c r="C72" s="4">
        <v>45352</v>
      </c>
      <c r="D72">
        <v>84</v>
      </c>
      <c r="E72">
        <v>15</v>
      </c>
      <c r="F72">
        <v>163.21</v>
      </c>
      <c r="G72">
        <v>5</v>
      </c>
      <c r="H72" s="5">
        <v>0.33333333333333331</v>
      </c>
      <c r="I72">
        <v>411.36</v>
      </c>
      <c r="J72">
        <v>1</v>
      </c>
      <c r="K72" s="5">
        <v>0.1014</v>
      </c>
    </row>
    <row r="73" spans="1:11" x14ac:dyDescent="0.35">
      <c r="A73" t="s">
        <v>20</v>
      </c>
      <c r="B73" t="s">
        <v>28</v>
      </c>
      <c r="C73" s="4">
        <v>45352</v>
      </c>
      <c r="D73">
        <v>64</v>
      </c>
      <c r="E73">
        <v>13</v>
      </c>
      <c r="F73">
        <v>496.4</v>
      </c>
      <c r="G73">
        <v>0</v>
      </c>
      <c r="H73" s="5">
        <v>0</v>
      </c>
      <c r="I73">
        <v>1306.3800000000001</v>
      </c>
      <c r="J73">
        <v>3</v>
      </c>
      <c r="K73" s="5">
        <v>1.1000000000000001E-3</v>
      </c>
    </row>
    <row r="74" spans="1:11" x14ac:dyDescent="0.35">
      <c r="A74" t="s">
        <v>21</v>
      </c>
      <c r="B74" t="s">
        <v>28</v>
      </c>
      <c r="C74" s="4">
        <v>45352</v>
      </c>
      <c r="D74">
        <v>21</v>
      </c>
      <c r="E74">
        <v>13</v>
      </c>
      <c r="F74">
        <v>315.41000000000003</v>
      </c>
      <c r="G74">
        <v>1</v>
      </c>
      <c r="H74" s="5">
        <v>7.6923076923076927E-2</v>
      </c>
      <c r="I74">
        <v>1692.59</v>
      </c>
      <c r="J74">
        <v>2</v>
      </c>
      <c r="K74" s="5">
        <v>5.0999999999999997E-2</v>
      </c>
    </row>
    <row r="75" spans="1:11" x14ac:dyDescent="0.35">
      <c r="A75" t="s">
        <v>22</v>
      </c>
      <c r="B75" t="s">
        <v>28</v>
      </c>
      <c r="C75" s="4">
        <v>45352</v>
      </c>
      <c r="D75">
        <v>110</v>
      </c>
      <c r="E75">
        <v>6</v>
      </c>
      <c r="F75">
        <v>535.37</v>
      </c>
      <c r="G75">
        <v>2</v>
      </c>
      <c r="H75" s="5">
        <v>0.33333333333333331</v>
      </c>
      <c r="I75">
        <v>3113.29</v>
      </c>
      <c r="J75">
        <v>1</v>
      </c>
      <c r="K75" s="5">
        <v>3.2099999999999997E-2</v>
      </c>
    </row>
    <row r="76" spans="1:11" x14ac:dyDescent="0.35">
      <c r="A76" t="s">
        <v>23</v>
      </c>
      <c r="B76" t="s">
        <v>28</v>
      </c>
      <c r="C76" s="4">
        <v>45352</v>
      </c>
      <c r="D76">
        <v>62</v>
      </c>
      <c r="E76">
        <v>8</v>
      </c>
      <c r="F76">
        <v>198.84</v>
      </c>
      <c r="G76">
        <v>8</v>
      </c>
      <c r="H76" s="5">
        <v>1</v>
      </c>
      <c r="I76">
        <v>534.58000000000004</v>
      </c>
      <c r="J76">
        <v>3</v>
      </c>
      <c r="K76" s="5">
        <v>8.8000000000000009E-2</v>
      </c>
    </row>
    <row r="77" spans="1:11" x14ac:dyDescent="0.35">
      <c r="A77" t="s">
        <v>24</v>
      </c>
      <c r="B77" t="s">
        <v>28</v>
      </c>
      <c r="C77" s="4">
        <v>45352</v>
      </c>
      <c r="D77">
        <v>108</v>
      </c>
      <c r="E77">
        <v>14</v>
      </c>
      <c r="F77">
        <v>416.78</v>
      </c>
      <c r="G77">
        <v>1</v>
      </c>
      <c r="H77" s="5">
        <v>7.1428571428571425E-2</v>
      </c>
      <c r="I77">
        <v>2989.69</v>
      </c>
      <c r="J77">
        <v>2</v>
      </c>
      <c r="K77" s="5">
        <v>2.5499999999999998E-2</v>
      </c>
    </row>
    <row r="78" spans="1:11" x14ac:dyDescent="0.35">
      <c r="A78" t="s">
        <v>26</v>
      </c>
      <c r="B78" t="s">
        <v>28</v>
      </c>
      <c r="C78" s="4">
        <v>45352</v>
      </c>
      <c r="D78">
        <v>28</v>
      </c>
      <c r="E78">
        <v>12</v>
      </c>
      <c r="F78">
        <v>533.85</v>
      </c>
      <c r="G78">
        <v>5</v>
      </c>
      <c r="H78" s="5">
        <v>0.41666666666666669</v>
      </c>
      <c r="I78">
        <v>224.87</v>
      </c>
      <c r="J78">
        <v>1</v>
      </c>
      <c r="K78" s="5">
        <v>6.480000000000001E-2</v>
      </c>
    </row>
    <row r="79" spans="1:11" x14ac:dyDescent="0.35">
      <c r="A79" t="s">
        <v>27</v>
      </c>
      <c r="B79" t="s">
        <v>28</v>
      </c>
      <c r="C79" s="4">
        <v>45352</v>
      </c>
      <c r="D79">
        <v>39</v>
      </c>
      <c r="E79">
        <v>16</v>
      </c>
      <c r="F79">
        <v>312.8</v>
      </c>
      <c r="G79">
        <v>8</v>
      </c>
      <c r="H79" s="5">
        <v>0.5</v>
      </c>
      <c r="I79">
        <v>4592.09</v>
      </c>
      <c r="J79">
        <v>3</v>
      </c>
      <c r="K79" s="5">
        <v>8.5500000000000007E-2</v>
      </c>
    </row>
    <row r="80" spans="1:11" x14ac:dyDescent="0.35">
      <c r="A80" t="s">
        <v>0</v>
      </c>
      <c r="B80" t="s">
        <v>28</v>
      </c>
      <c r="C80" s="4">
        <v>45383</v>
      </c>
      <c r="D80">
        <v>69</v>
      </c>
      <c r="E80">
        <v>17</v>
      </c>
      <c r="F80">
        <v>342.81</v>
      </c>
      <c r="G80">
        <v>6</v>
      </c>
      <c r="H80" s="5">
        <v>0.35294117647058826</v>
      </c>
      <c r="I80">
        <v>3728.2</v>
      </c>
      <c r="J80">
        <v>2</v>
      </c>
      <c r="K80" s="5">
        <v>2.9600000000000001E-2</v>
      </c>
    </row>
    <row r="81" spans="1:11" x14ac:dyDescent="0.35">
      <c r="A81" t="s">
        <v>2</v>
      </c>
      <c r="B81" t="s">
        <v>28</v>
      </c>
      <c r="C81" s="4">
        <v>45383</v>
      </c>
      <c r="D81">
        <v>83</v>
      </c>
      <c r="E81">
        <v>11</v>
      </c>
      <c r="F81">
        <v>365.12</v>
      </c>
      <c r="G81">
        <v>5</v>
      </c>
      <c r="H81" s="5">
        <v>0.45454545454545453</v>
      </c>
      <c r="I81">
        <v>3682.69</v>
      </c>
      <c r="J81">
        <v>1</v>
      </c>
      <c r="K81" s="5">
        <v>3.8199999999999998E-2</v>
      </c>
    </row>
    <row r="82" spans="1:11" x14ac:dyDescent="0.35">
      <c r="A82" t="s">
        <v>3</v>
      </c>
      <c r="B82" t="s">
        <v>28</v>
      </c>
      <c r="C82" s="4">
        <v>45383</v>
      </c>
      <c r="D82">
        <v>41</v>
      </c>
      <c r="E82">
        <v>14</v>
      </c>
      <c r="F82">
        <v>416.88</v>
      </c>
      <c r="G82">
        <v>2</v>
      </c>
      <c r="H82" s="5">
        <v>0.14285714285714285</v>
      </c>
      <c r="I82">
        <v>3638.83</v>
      </c>
      <c r="J82">
        <v>3</v>
      </c>
      <c r="K82" s="5">
        <v>4.41E-2</v>
      </c>
    </row>
    <row r="83" spans="1:11" x14ac:dyDescent="0.35">
      <c r="A83" t="s">
        <v>4</v>
      </c>
      <c r="B83" t="s">
        <v>28</v>
      </c>
      <c r="C83" s="4">
        <v>45383</v>
      </c>
      <c r="D83">
        <v>17</v>
      </c>
      <c r="E83">
        <v>7</v>
      </c>
      <c r="F83">
        <v>81.14</v>
      </c>
      <c r="G83">
        <v>3</v>
      </c>
      <c r="H83" s="5">
        <v>0.42857142857142855</v>
      </c>
      <c r="I83">
        <v>1419.04</v>
      </c>
      <c r="J83">
        <v>2</v>
      </c>
      <c r="K83" s="5">
        <v>2.9399999999999999E-2</v>
      </c>
    </row>
    <row r="84" spans="1:11" x14ac:dyDescent="0.35">
      <c r="A84" t="s">
        <v>5</v>
      </c>
      <c r="B84" t="s">
        <v>28</v>
      </c>
      <c r="C84" s="4">
        <v>45383</v>
      </c>
      <c r="D84">
        <v>76</v>
      </c>
      <c r="E84">
        <v>16</v>
      </c>
      <c r="F84">
        <v>449.04</v>
      </c>
      <c r="G84">
        <v>4</v>
      </c>
      <c r="H84" s="5">
        <v>0.25</v>
      </c>
      <c r="I84">
        <v>1019.97</v>
      </c>
      <c r="J84">
        <v>1</v>
      </c>
      <c r="K84" s="5">
        <v>3.8100000000000002E-2</v>
      </c>
    </row>
    <row r="85" spans="1:11" x14ac:dyDescent="0.35">
      <c r="A85" t="s">
        <v>6</v>
      </c>
      <c r="B85" t="s">
        <v>28</v>
      </c>
      <c r="C85" s="4">
        <v>45383</v>
      </c>
      <c r="D85">
        <v>72</v>
      </c>
      <c r="E85">
        <v>6</v>
      </c>
      <c r="F85">
        <v>508.55</v>
      </c>
      <c r="G85">
        <v>3</v>
      </c>
      <c r="H85" s="5">
        <v>0.5</v>
      </c>
      <c r="I85">
        <v>3633.75</v>
      </c>
      <c r="J85">
        <v>3</v>
      </c>
      <c r="K85" s="5">
        <v>1.1399999999999999E-2</v>
      </c>
    </row>
    <row r="86" spans="1:11" x14ac:dyDescent="0.35">
      <c r="A86" t="s">
        <v>7</v>
      </c>
      <c r="B86" t="s">
        <v>28</v>
      </c>
      <c r="C86" s="4">
        <v>45383</v>
      </c>
      <c r="D86">
        <v>72</v>
      </c>
      <c r="E86">
        <v>18</v>
      </c>
      <c r="F86">
        <v>299.08999999999997</v>
      </c>
      <c r="G86">
        <v>2</v>
      </c>
      <c r="H86" s="5">
        <v>0.1111111111111111</v>
      </c>
      <c r="I86">
        <v>2378.29</v>
      </c>
      <c r="J86">
        <v>2</v>
      </c>
      <c r="K86" s="5">
        <v>0.1052</v>
      </c>
    </row>
    <row r="87" spans="1:11" x14ac:dyDescent="0.35">
      <c r="A87" t="s">
        <v>8</v>
      </c>
      <c r="B87" t="s">
        <v>28</v>
      </c>
      <c r="C87" s="4">
        <v>45383</v>
      </c>
      <c r="D87">
        <v>44</v>
      </c>
      <c r="E87">
        <v>6</v>
      </c>
      <c r="F87">
        <v>246.21</v>
      </c>
      <c r="G87">
        <v>5</v>
      </c>
      <c r="H87" s="5">
        <v>0.83333333333333337</v>
      </c>
      <c r="I87">
        <v>4155.8</v>
      </c>
      <c r="J87">
        <v>1</v>
      </c>
      <c r="K87" s="5">
        <v>4.3299999999999998E-2</v>
      </c>
    </row>
    <row r="88" spans="1:11" x14ac:dyDescent="0.35">
      <c r="A88" t="s">
        <v>9</v>
      </c>
      <c r="B88" t="s">
        <v>28</v>
      </c>
      <c r="C88" s="4">
        <v>45383</v>
      </c>
      <c r="D88">
        <v>29</v>
      </c>
      <c r="E88">
        <v>16</v>
      </c>
      <c r="F88">
        <v>412.07</v>
      </c>
      <c r="G88">
        <v>10</v>
      </c>
      <c r="H88" s="5">
        <v>0.625</v>
      </c>
      <c r="I88">
        <v>1075.94</v>
      </c>
      <c r="J88">
        <v>1</v>
      </c>
      <c r="K88" s="5">
        <v>6.2400000000000004E-2</v>
      </c>
    </row>
    <row r="89" spans="1:11" x14ac:dyDescent="0.35">
      <c r="A89" t="s">
        <v>10</v>
      </c>
      <c r="B89" t="s">
        <v>28</v>
      </c>
      <c r="C89" s="4">
        <v>45383</v>
      </c>
      <c r="D89">
        <v>64</v>
      </c>
      <c r="E89">
        <v>13</v>
      </c>
      <c r="F89">
        <v>317.58</v>
      </c>
      <c r="G89">
        <v>8</v>
      </c>
      <c r="H89" s="5">
        <v>0.61538461538461542</v>
      </c>
      <c r="I89">
        <v>1088.22</v>
      </c>
      <c r="J89">
        <v>3</v>
      </c>
      <c r="K89" s="5">
        <v>3.49E-2</v>
      </c>
    </row>
    <row r="90" spans="1:11" x14ac:dyDescent="0.35">
      <c r="A90" t="s">
        <v>11</v>
      </c>
      <c r="B90" t="s">
        <v>28</v>
      </c>
      <c r="C90" s="4">
        <v>45383</v>
      </c>
      <c r="D90">
        <v>16</v>
      </c>
      <c r="E90">
        <v>7</v>
      </c>
      <c r="F90">
        <v>181.58</v>
      </c>
      <c r="G90">
        <v>6</v>
      </c>
      <c r="H90" s="5">
        <v>0.8571428571428571</v>
      </c>
      <c r="I90">
        <v>868.4</v>
      </c>
      <c r="J90">
        <v>2</v>
      </c>
      <c r="K90" s="5">
        <v>8.4100000000000008E-2</v>
      </c>
    </row>
    <row r="91" spans="1:11" x14ac:dyDescent="0.35">
      <c r="A91" t="s">
        <v>12</v>
      </c>
      <c r="B91" t="s">
        <v>28</v>
      </c>
      <c r="C91" s="4">
        <v>45383</v>
      </c>
      <c r="D91">
        <v>37</v>
      </c>
      <c r="E91">
        <v>7</v>
      </c>
      <c r="F91">
        <v>470.85</v>
      </c>
      <c r="G91">
        <v>7</v>
      </c>
      <c r="H91" s="5">
        <v>1</v>
      </c>
      <c r="I91">
        <v>3483.6</v>
      </c>
      <c r="J91">
        <v>1</v>
      </c>
      <c r="K91" s="5">
        <v>4.2599999999999999E-2</v>
      </c>
    </row>
    <row r="92" spans="1:11" x14ac:dyDescent="0.35">
      <c r="A92" t="s">
        <v>13</v>
      </c>
      <c r="B92" t="s">
        <v>28</v>
      </c>
      <c r="C92" s="4">
        <v>45383</v>
      </c>
      <c r="D92">
        <v>81</v>
      </c>
      <c r="E92">
        <v>16</v>
      </c>
      <c r="F92">
        <v>584.29999999999995</v>
      </c>
      <c r="G92">
        <v>3</v>
      </c>
      <c r="H92" s="5">
        <v>0.1875</v>
      </c>
      <c r="I92">
        <v>377.45</v>
      </c>
      <c r="J92">
        <v>3</v>
      </c>
      <c r="K92" s="5">
        <v>3.32E-2</v>
      </c>
    </row>
    <row r="93" spans="1:11" x14ac:dyDescent="0.35">
      <c r="A93" t="s">
        <v>14</v>
      </c>
      <c r="B93" t="s">
        <v>28</v>
      </c>
      <c r="C93" s="4">
        <v>45383</v>
      </c>
      <c r="D93">
        <v>26</v>
      </c>
      <c r="E93">
        <v>6</v>
      </c>
      <c r="F93">
        <v>231.59</v>
      </c>
      <c r="G93">
        <v>2</v>
      </c>
      <c r="H93" s="5">
        <v>0.33333333333333331</v>
      </c>
      <c r="I93">
        <v>3988.15</v>
      </c>
      <c r="J93">
        <v>2</v>
      </c>
      <c r="K93" s="5">
        <v>3.8399999999999997E-2</v>
      </c>
    </row>
    <row r="94" spans="1:11" x14ac:dyDescent="0.35">
      <c r="A94" t="s">
        <v>15</v>
      </c>
      <c r="B94" t="s">
        <v>29</v>
      </c>
      <c r="C94" s="4">
        <v>45383</v>
      </c>
      <c r="D94">
        <v>69</v>
      </c>
      <c r="E94">
        <v>9</v>
      </c>
      <c r="F94">
        <v>221.01</v>
      </c>
      <c r="G94">
        <v>3</v>
      </c>
      <c r="H94" s="5">
        <v>0.33333333333333331</v>
      </c>
      <c r="I94">
        <v>643.44000000000005</v>
      </c>
      <c r="J94">
        <v>1</v>
      </c>
      <c r="K94" s="5">
        <v>3.2000000000000001E-2</v>
      </c>
    </row>
    <row r="95" spans="1:11" x14ac:dyDescent="0.35">
      <c r="A95" t="s">
        <v>16</v>
      </c>
      <c r="B95" t="s">
        <v>29</v>
      </c>
      <c r="C95" s="4">
        <v>45383</v>
      </c>
      <c r="D95">
        <v>103</v>
      </c>
      <c r="E95">
        <v>6</v>
      </c>
      <c r="F95">
        <v>165.74</v>
      </c>
      <c r="G95">
        <v>6</v>
      </c>
      <c r="H95" s="5">
        <v>1</v>
      </c>
      <c r="I95">
        <v>1169.3800000000001</v>
      </c>
      <c r="J95">
        <v>3</v>
      </c>
      <c r="K95" s="5">
        <v>7.7699999999999991E-2</v>
      </c>
    </row>
    <row r="96" spans="1:11" x14ac:dyDescent="0.35">
      <c r="A96" t="s">
        <v>17</v>
      </c>
      <c r="B96" t="s">
        <v>29</v>
      </c>
      <c r="C96" s="4">
        <v>45383</v>
      </c>
      <c r="D96">
        <v>100</v>
      </c>
      <c r="E96">
        <v>7</v>
      </c>
      <c r="F96">
        <v>82.62</v>
      </c>
      <c r="G96">
        <v>6</v>
      </c>
      <c r="H96" s="5">
        <v>0.8571428571428571</v>
      </c>
      <c r="I96">
        <v>4085.91</v>
      </c>
      <c r="J96">
        <v>2</v>
      </c>
      <c r="K96" s="5">
        <v>9.0500000000000011E-2</v>
      </c>
    </row>
    <row r="97" spans="1:11" x14ac:dyDescent="0.35">
      <c r="A97" t="s">
        <v>18</v>
      </c>
      <c r="B97" t="s">
        <v>29</v>
      </c>
      <c r="C97" s="4">
        <v>45383</v>
      </c>
      <c r="D97">
        <v>26</v>
      </c>
      <c r="E97">
        <v>17</v>
      </c>
      <c r="F97">
        <v>526.34</v>
      </c>
      <c r="G97">
        <v>6</v>
      </c>
      <c r="H97" s="5">
        <v>0.35294117647058826</v>
      </c>
      <c r="I97">
        <v>3360.11</v>
      </c>
      <c r="J97">
        <v>1</v>
      </c>
      <c r="K97" s="5">
        <v>3.0600000000000002E-2</v>
      </c>
    </row>
    <row r="98" spans="1:11" x14ac:dyDescent="0.35">
      <c r="A98" t="s">
        <v>19</v>
      </c>
      <c r="B98" t="s">
        <v>29</v>
      </c>
      <c r="C98" s="4">
        <v>45383</v>
      </c>
      <c r="D98">
        <v>104</v>
      </c>
      <c r="E98">
        <v>22</v>
      </c>
      <c r="F98">
        <v>190.87</v>
      </c>
      <c r="G98">
        <v>4</v>
      </c>
      <c r="H98" s="5">
        <v>0.18181818181818182</v>
      </c>
      <c r="I98">
        <v>433.41</v>
      </c>
      <c r="J98">
        <v>3</v>
      </c>
      <c r="K98" s="5">
        <v>9.3599999999999989E-2</v>
      </c>
    </row>
    <row r="99" spans="1:11" x14ac:dyDescent="0.35">
      <c r="A99" t="s">
        <v>20</v>
      </c>
      <c r="B99" t="s">
        <v>29</v>
      </c>
      <c r="C99" s="4">
        <v>45383</v>
      </c>
      <c r="D99">
        <v>63</v>
      </c>
      <c r="E99">
        <v>11</v>
      </c>
      <c r="F99">
        <v>554.51</v>
      </c>
      <c r="G99">
        <v>1</v>
      </c>
      <c r="H99" s="5">
        <v>9.0909090909090912E-2</v>
      </c>
      <c r="I99">
        <v>1138.51</v>
      </c>
      <c r="J99">
        <v>2</v>
      </c>
      <c r="K99" s="5">
        <v>1E-3</v>
      </c>
    </row>
    <row r="100" spans="1:11" x14ac:dyDescent="0.35">
      <c r="A100" t="s">
        <v>21</v>
      </c>
      <c r="B100" t="s">
        <v>29</v>
      </c>
      <c r="C100" s="4">
        <v>45383</v>
      </c>
      <c r="D100">
        <v>22</v>
      </c>
      <c r="E100">
        <v>13</v>
      </c>
      <c r="F100">
        <v>302.49</v>
      </c>
      <c r="G100">
        <v>2</v>
      </c>
      <c r="H100" s="5">
        <v>0.15384615384615385</v>
      </c>
      <c r="I100">
        <v>1591.45</v>
      </c>
      <c r="J100">
        <v>3</v>
      </c>
      <c r="K100" s="5">
        <v>4.9599999999999998E-2</v>
      </c>
    </row>
    <row r="101" spans="1:11" x14ac:dyDescent="0.35">
      <c r="A101" t="s">
        <v>22</v>
      </c>
      <c r="B101" t="s">
        <v>29</v>
      </c>
      <c r="C101" s="4">
        <v>45383</v>
      </c>
      <c r="D101">
        <v>91</v>
      </c>
      <c r="E101">
        <v>5</v>
      </c>
      <c r="F101">
        <v>605.11</v>
      </c>
      <c r="G101">
        <v>2</v>
      </c>
      <c r="H101" s="5">
        <v>0.4</v>
      </c>
      <c r="I101">
        <v>3499.88</v>
      </c>
      <c r="J101">
        <v>2</v>
      </c>
      <c r="K101" s="5">
        <v>3.0200000000000001E-2</v>
      </c>
    </row>
    <row r="102" spans="1:11" x14ac:dyDescent="0.35">
      <c r="A102" t="s">
        <v>23</v>
      </c>
      <c r="B102" t="s">
        <v>29</v>
      </c>
      <c r="C102" s="4">
        <v>45383</v>
      </c>
      <c r="D102">
        <v>77</v>
      </c>
      <c r="E102">
        <v>8</v>
      </c>
      <c r="F102">
        <v>173.88</v>
      </c>
      <c r="G102">
        <v>6</v>
      </c>
      <c r="H102" s="5">
        <v>0.75</v>
      </c>
      <c r="I102">
        <v>462.44</v>
      </c>
      <c r="J102">
        <v>1</v>
      </c>
      <c r="K102" s="5">
        <v>7.9899999999999999E-2</v>
      </c>
    </row>
    <row r="103" spans="1:11" x14ac:dyDescent="0.35">
      <c r="A103" t="s">
        <v>24</v>
      </c>
      <c r="B103" t="s">
        <v>29</v>
      </c>
      <c r="C103" s="4">
        <v>45383</v>
      </c>
      <c r="D103">
        <v>90</v>
      </c>
      <c r="E103">
        <v>17</v>
      </c>
      <c r="F103">
        <v>366.84</v>
      </c>
      <c r="G103">
        <v>0</v>
      </c>
      <c r="H103" s="5">
        <v>0</v>
      </c>
      <c r="I103">
        <v>3153.56</v>
      </c>
      <c r="J103">
        <v>3</v>
      </c>
      <c r="K103" s="5">
        <v>2.4500000000000001E-2</v>
      </c>
    </row>
    <row r="104" spans="1:11" x14ac:dyDescent="0.35">
      <c r="A104" t="s">
        <v>26</v>
      </c>
      <c r="B104" t="s">
        <v>29</v>
      </c>
      <c r="C104" s="4">
        <v>45383</v>
      </c>
      <c r="D104">
        <v>33</v>
      </c>
      <c r="E104">
        <v>9</v>
      </c>
      <c r="F104">
        <v>578.41999999999996</v>
      </c>
      <c r="G104">
        <v>4</v>
      </c>
      <c r="H104" s="5">
        <v>0.44444444444444442</v>
      </c>
      <c r="I104">
        <v>229.72</v>
      </c>
      <c r="J104">
        <v>2</v>
      </c>
      <c r="K104" s="5">
        <v>7.46E-2</v>
      </c>
    </row>
    <row r="105" spans="1:11" x14ac:dyDescent="0.35">
      <c r="A105" t="s">
        <v>27</v>
      </c>
      <c r="B105" t="s">
        <v>29</v>
      </c>
      <c r="C105" s="4">
        <v>45383</v>
      </c>
      <c r="D105">
        <v>42</v>
      </c>
      <c r="E105">
        <v>14</v>
      </c>
      <c r="F105">
        <v>321.29000000000002</v>
      </c>
      <c r="G105">
        <v>7</v>
      </c>
      <c r="H105" s="5">
        <v>0.5</v>
      </c>
      <c r="I105">
        <v>4298.2700000000004</v>
      </c>
      <c r="J105">
        <v>1</v>
      </c>
      <c r="K105" s="5">
        <v>7.4499999999999997E-2</v>
      </c>
    </row>
    <row r="106" spans="1:11" x14ac:dyDescent="0.35">
      <c r="A106" t="s">
        <v>0</v>
      </c>
      <c r="B106" t="s">
        <v>29</v>
      </c>
      <c r="C106" s="4">
        <v>45413</v>
      </c>
      <c r="D106">
        <v>69</v>
      </c>
      <c r="E106">
        <v>16</v>
      </c>
      <c r="F106">
        <v>299.22000000000003</v>
      </c>
      <c r="G106">
        <v>6</v>
      </c>
      <c r="H106" s="5">
        <v>0.375</v>
      </c>
      <c r="I106">
        <v>3716.14</v>
      </c>
      <c r="J106">
        <v>3</v>
      </c>
      <c r="K106" s="5">
        <v>2.63E-2</v>
      </c>
    </row>
    <row r="107" spans="1:11" x14ac:dyDescent="0.35">
      <c r="A107" t="s">
        <v>2</v>
      </c>
      <c r="B107" t="s">
        <v>29</v>
      </c>
      <c r="C107" s="4">
        <v>45413</v>
      </c>
      <c r="D107">
        <v>68</v>
      </c>
      <c r="E107">
        <v>11</v>
      </c>
      <c r="F107">
        <v>345.62</v>
      </c>
      <c r="G107">
        <v>4</v>
      </c>
      <c r="H107" s="5">
        <v>0.36363636363636365</v>
      </c>
      <c r="I107">
        <v>3558.13</v>
      </c>
      <c r="J107">
        <v>2</v>
      </c>
      <c r="K107" s="5">
        <v>4.0800000000000003E-2</v>
      </c>
    </row>
    <row r="108" spans="1:11" x14ac:dyDescent="0.35">
      <c r="A108" t="s">
        <v>3</v>
      </c>
      <c r="B108" t="s">
        <v>29</v>
      </c>
      <c r="C108" s="4">
        <v>45413</v>
      </c>
      <c r="D108">
        <v>45</v>
      </c>
      <c r="E108">
        <v>17</v>
      </c>
      <c r="F108">
        <v>416.96</v>
      </c>
      <c r="G108">
        <v>3</v>
      </c>
      <c r="H108" s="5">
        <v>0.17647058823529413</v>
      </c>
      <c r="I108">
        <v>3327.07</v>
      </c>
      <c r="J108">
        <v>1</v>
      </c>
      <c r="K108" s="5">
        <v>4.0999999999999995E-2</v>
      </c>
    </row>
    <row r="109" spans="1:11" x14ac:dyDescent="0.35">
      <c r="A109" t="s">
        <v>4</v>
      </c>
      <c r="B109" t="s">
        <v>29</v>
      </c>
      <c r="C109" s="4">
        <v>45413</v>
      </c>
      <c r="D109">
        <v>17</v>
      </c>
      <c r="E109">
        <v>8</v>
      </c>
      <c r="F109">
        <v>72.05</v>
      </c>
      <c r="G109">
        <v>3</v>
      </c>
      <c r="H109" s="5">
        <v>0.375</v>
      </c>
      <c r="I109">
        <v>1672.82</v>
      </c>
      <c r="J109">
        <v>3</v>
      </c>
      <c r="K109" s="5">
        <v>3.0299999999999997E-2</v>
      </c>
    </row>
    <row r="110" spans="1:11" x14ac:dyDescent="0.35">
      <c r="A110" t="s">
        <v>5</v>
      </c>
      <c r="B110" t="s">
        <v>29</v>
      </c>
      <c r="C110" s="4">
        <v>45413</v>
      </c>
      <c r="D110">
        <v>85</v>
      </c>
      <c r="E110">
        <v>13</v>
      </c>
      <c r="F110">
        <v>475.61</v>
      </c>
      <c r="G110">
        <v>5</v>
      </c>
      <c r="H110" s="5">
        <v>0.38461538461538464</v>
      </c>
      <c r="I110">
        <v>939.32</v>
      </c>
      <c r="J110">
        <v>2</v>
      </c>
      <c r="K110" s="5">
        <v>3.6400000000000002E-2</v>
      </c>
    </row>
    <row r="111" spans="1:11" x14ac:dyDescent="0.35">
      <c r="A111" t="s">
        <v>6</v>
      </c>
      <c r="B111" t="s">
        <v>29</v>
      </c>
      <c r="C111" s="4">
        <v>45413</v>
      </c>
      <c r="D111">
        <v>49</v>
      </c>
      <c r="E111">
        <v>7</v>
      </c>
      <c r="F111">
        <v>469.53</v>
      </c>
      <c r="G111">
        <v>3</v>
      </c>
      <c r="H111" s="5">
        <v>0.42857142857142855</v>
      </c>
      <c r="I111">
        <v>3623.32</v>
      </c>
      <c r="J111">
        <v>1</v>
      </c>
      <c r="K111" s="5">
        <v>1.21E-2</v>
      </c>
    </row>
    <row r="112" spans="1:11" x14ac:dyDescent="0.35">
      <c r="A112" t="s">
        <v>7</v>
      </c>
      <c r="B112" t="s">
        <v>29</v>
      </c>
      <c r="C112" s="4">
        <v>45413</v>
      </c>
      <c r="D112">
        <v>66</v>
      </c>
      <c r="E112">
        <v>15</v>
      </c>
      <c r="F112">
        <v>333.1</v>
      </c>
      <c r="G112">
        <v>2</v>
      </c>
      <c r="H112" s="5">
        <v>0.13333333333333333</v>
      </c>
      <c r="I112">
        <v>2631.58</v>
      </c>
      <c r="J112">
        <v>1</v>
      </c>
      <c r="K112" s="5">
        <v>0.10249999999999999</v>
      </c>
    </row>
    <row r="113" spans="1:11" x14ac:dyDescent="0.35">
      <c r="A113" t="s">
        <v>8</v>
      </c>
      <c r="B113" t="s">
        <v>29</v>
      </c>
      <c r="C113" s="4">
        <v>45413</v>
      </c>
      <c r="D113">
        <v>63</v>
      </c>
      <c r="E113">
        <v>9</v>
      </c>
      <c r="F113">
        <v>258.11</v>
      </c>
      <c r="G113">
        <v>7</v>
      </c>
      <c r="H113" s="5">
        <v>0.77777777777777779</v>
      </c>
      <c r="I113">
        <v>4064.36</v>
      </c>
      <c r="J113">
        <v>3</v>
      </c>
      <c r="K113" s="5">
        <v>4.1599999999999998E-2</v>
      </c>
    </row>
    <row r="114" spans="1:11" x14ac:dyDescent="0.35">
      <c r="A114" t="s">
        <v>9</v>
      </c>
      <c r="B114" t="s">
        <v>29</v>
      </c>
      <c r="C114" s="4">
        <v>45413</v>
      </c>
      <c r="D114">
        <v>31</v>
      </c>
      <c r="E114">
        <v>20</v>
      </c>
      <c r="F114">
        <v>400.8</v>
      </c>
      <c r="G114">
        <v>8</v>
      </c>
      <c r="H114" s="5">
        <v>0.4</v>
      </c>
      <c r="I114">
        <v>1294.3599999999999</v>
      </c>
      <c r="J114">
        <v>2</v>
      </c>
      <c r="K114" s="5">
        <v>5.6399999999999999E-2</v>
      </c>
    </row>
    <row r="115" spans="1:11" x14ac:dyDescent="0.35">
      <c r="A115" t="s">
        <v>10</v>
      </c>
      <c r="B115" t="s">
        <v>29</v>
      </c>
      <c r="C115" s="4">
        <v>45413</v>
      </c>
      <c r="D115">
        <v>75</v>
      </c>
      <c r="E115">
        <v>19</v>
      </c>
      <c r="F115">
        <v>343.28</v>
      </c>
      <c r="G115">
        <v>9</v>
      </c>
      <c r="H115" s="5">
        <v>0.47368421052631576</v>
      </c>
      <c r="I115">
        <v>899.46</v>
      </c>
      <c r="J115">
        <v>1</v>
      </c>
      <c r="K115" s="5">
        <v>3.2199999999999999E-2</v>
      </c>
    </row>
    <row r="116" spans="1:11" x14ac:dyDescent="0.35">
      <c r="A116" t="s">
        <v>11</v>
      </c>
      <c r="B116" t="s">
        <v>29</v>
      </c>
      <c r="C116" s="4">
        <v>45413</v>
      </c>
      <c r="D116">
        <v>18</v>
      </c>
      <c r="E116">
        <v>7</v>
      </c>
      <c r="F116">
        <v>204.63</v>
      </c>
      <c r="G116">
        <v>7</v>
      </c>
      <c r="H116" s="5">
        <v>1</v>
      </c>
      <c r="I116">
        <v>789.77</v>
      </c>
      <c r="J116">
        <v>3</v>
      </c>
      <c r="K116" s="5">
        <v>7.4499999999999997E-2</v>
      </c>
    </row>
    <row r="117" spans="1:11" x14ac:dyDescent="0.35">
      <c r="A117" t="s">
        <v>12</v>
      </c>
      <c r="B117" t="s">
        <v>29</v>
      </c>
      <c r="C117" s="4">
        <v>45413</v>
      </c>
      <c r="D117">
        <v>35</v>
      </c>
      <c r="E117">
        <v>6</v>
      </c>
      <c r="F117">
        <v>553.11</v>
      </c>
      <c r="G117">
        <v>4</v>
      </c>
      <c r="H117" s="5">
        <v>0.66666666666666663</v>
      </c>
      <c r="I117">
        <v>3867.67</v>
      </c>
      <c r="J117">
        <v>2</v>
      </c>
      <c r="K117" s="5">
        <v>3.8300000000000001E-2</v>
      </c>
    </row>
    <row r="118" spans="1:11" x14ac:dyDescent="0.35">
      <c r="A118" t="s">
        <v>13</v>
      </c>
      <c r="B118" t="s">
        <v>29</v>
      </c>
      <c r="C118" s="4">
        <v>45413</v>
      </c>
      <c r="D118">
        <v>74</v>
      </c>
      <c r="E118">
        <v>20</v>
      </c>
      <c r="F118">
        <v>623.33000000000004</v>
      </c>
      <c r="G118">
        <v>2</v>
      </c>
      <c r="H118" s="5">
        <v>0.1</v>
      </c>
      <c r="I118">
        <v>359.97</v>
      </c>
      <c r="J118">
        <v>1</v>
      </c>
      <c r="K118" s="5">
        <v>3.8399999999999997E-2</v>
      </c>
    </row>
    <row r="119" spans="1:11" x14ac:dyDescent="0.35">
      <c r="A119" t="s">
        <v>14</v>
      </c>
      <c r="B119" t="s">
        <v>29</v>
      </c>
      <c r="C119" s="4">
        <v>45413</v>
      </c>
      <c r="D119">
        <v>26</v>
      </c>
      <c r="E119">
        <v>7</v>
      </c>
      <c r="F119">
        <v>200.45</v>
      </c>
      <c r="G119">
        <v>1</v>
      </c>
      <c r="H119" s="5">
        <v>0.14285714285714285</v>
      </c>
      <c r="I119">
        <v>3797.35</v>
      </c>
      <c r="J119">
        <v>3</v>
      </c>
      <c r="K119" s="5">
        <v>4.1399999999999999E-2</v>
      </c>
    </row>
    <row r="120" spans="1:11" x14ac:dyDescent="0.35">
      <c r="A120" t="s">
        <v>15</v>
      </c>
      <c r="B120" t="s">
        <v>29</v>
      </c>
      <c r="C120" s="4">
        <v>45413</v>
      </c>
      <c r="D120">
        <v>50</v>
      </c>
      <c r="E120">
        <v>7</v>
      </c>
      <c r="F120">
        <v>196.2</v>
      </c>
      <c r="G120">
        <v>2</v>
      </c>
      <c r="H120" s="5">
        <v>0.2857142857142857</v>
      </c>
      <c r="I120">
        <v>592.71</v>
      </c>
      <c r="J120">
        <v>2</v>
      </c>
      <c r="K120" s="5">
        <v>2.76E-2</v>
      </c>
    </row>
    <row r="121" spans="1:11" x14ac:dyDescent="0.35">
      <c r="A121" t="s">
        <v>16</v>
      </c>
      <c r="B121" t="s">
        <v>29</v>
      </c>
      <c r="C121" s="4">
        <v>45413</v>
      </c>
      <c r="D121">
        <v>97</v>
      </c>
      <c r="E121">
        <v>5</v>
      </c>
      <c r="F121">
        <v>185.62</v>
      </c>
      <c r="G121">
        <v>4</v>
      </c>
      <c r="H121" s="5">
        <v>0.8</v>
      </c>
      <c r="I121">
        <v>1282.81</v>
      </c>
      <c r="J121">
        <v>1</v>
      </c>
      <c r="K121" s="5">
        <v>7.22E-2</v>
      </c>
    </row>
    <row r="122" spans="1:11" x14ac:dyDescent="0.35">
      <c r="A122" t="s">
        <v>17</v>
      </c>
      <c r="B122" t="s">
        <v>29</v>
      </c>
      <c r="C122" s="4">
        <v>45413</v>
      </c>
      <c r="D122">
        <v>91</v>
      </c>
      <c r="E122">
        <v>7</v>
      </c>
      <c r="F122">
        <v>89.39</v>
      </c>
      <c r="G122">
        <v>6</v>
      </c>
      <c r="H122" s="5">
        <v>0.8571428571428571</v>
      </c>
      <c r="I122">
        <v>3971.59</v>
      </c>
      <c r="J122">
        <v>3</v>
      </c>
      <c r="K122" s="5">
        <v>9.0700000000000003E-2</v>
      </c>
    </row>
    <row r="123" spans="1:11" x14ac:dyDescent="0.35">
      <c r="A123" t="s">
        <v>18</v>
      </c>
      <c r="B123" t="s">
        <v>29</v>
      </c>
      <c r="C123" s="4">
        <v>45413</v>
      </c>
      <c r="D123">
        <v>21</v>
      </c>
      <c r="E123">
        <v>14</v>
      </c>
      <c r="F123">
        <v>472.79</v>
      </c>
      <c r="G123">
        <v>8</v>
      </c>
      <c r="H123" s="5">
        <v>0.5714285714285714</v>
      </c>
      <c r="I123">
        <v>3830.32</v>
      </c>
      <c r="J123">
        <v>2</v>
      </c>
      <c r="K123" s="5">
        <v>3.5200000000000002E-2</v>
      </c>
    </row>
    <row r="124" spans="1:11" x14ac:dyDescent="0.35">
      <c r="A124" t="s">
        <v>19</v>
      </c>
      <c r="B124" t="s">
        <v>29</v>
      </c>
      <c r="C124" s="4">
        <v>45413</v>
      </c>
      <c r="D124">
        <v>91</v>
      </c>
      <c r="E124">
        <v>15</v>
      </c>
      <c r="F124">
        <v>173.03</v>
      </c>
      <c r="G124">
        <v>4</v>
      </c>
      <c r="H124" s="5">
        <v>0.26666666666666666</v>
      </c>
      <c r="I124">
        <v>386.08</v>
      </c>
      <c r="J124">
        <v>1</v>
      </c>
      <c r="K124" s="5">
        <v>9.820000000000001E-2</v>
      </c>
    </row>
    <row r="125" spans="1:11" x14ac:dyDescent="0.35">
      <c r="A125" t="s">
        <v>20</v>
      </c>
      <c r="B125" t="s">
        <v>29</v>
      </c>
      <c r="C125" s="4">
        <v>45413</v>
      </c>
      <c r="D125">
        <v>67</v>
      </c>
      <c r="E125">
        <v>15</v>
      </c>
      <c r="F125">
        <v>499.68</v>
      </c>
      <c r="G125">
        <v>0</v>
      </c>
      <c r="H125" s="5">
        <v>0</v>
      </c>
      <c r="I125">
        <v>1287.1300000000001</v>
      </c>
      <c r="J125">
        <v>3</v>
      </c>
      <c r="K125" s="5">
        <v>1E-3</v>
      </c>
    </row>
    <row r="126" spans="1:11" x14ac:dyDescent="0.35">
      <c r="A126" t="s">
        <v>21</v>
      </c>
      <c r="B126" t="s">
        <v>29</v>
      </c>
      <c r="C126" s="4">
        <v>45413</v>
      </c>
      <c r="D126">
        <v>19</v>
      </c>
      <c r="E126">
        <v>13</v>
      </c>
      <c r="F126">
        <v>316.23</v>
      </c>
      <c r="G126">
        <v>1</v>
      </c>
      <c r="H126" s="5">
        <v>7.6923076923076927E-2</v>
      </c>
      <c r="I126">
        <v>1598.49</v>
      </c>
      <c r="J126">
        <v>2</v>
      </c>
      <c r="K126" s="5">
        <v>5.8299999999999998E-2</v>
      </c>
    </row>
    <row r="127" spans="1:11" x14ac:dyDescent="0.35">
      <c r="A127" t="s">
        <v>22</v>
      </c>
      <c r="B127" t="s">
        <v>29</v>
      </c>
      <c r="C127" s="4">
        <v>45413</v>
      </c>
      <c r="D127">
        <v>105</v>
      </c>
      <c r="E127">
        <v>6</v>
      </c>
      <c r="F127">
        <v>567.03</v>
      </c>
      <c r="G127">
        <v>1</v>
      </c>
      <c r="H127" s="5">
        <v>0.16666666666666666</v>
      </c>
      <c r="I127">
        <v>3496.65</v>
      </c>
      <c r="J127">
        <v>1</v>
      </c>
      <c r="K127" s="5">
        <v>3.0600000000000002E-2</v>
      </c>
    </row>
    <row r="128" spans="1:11" x14ac:dyDescent="0.35">
      <c r="A128" t="s">
        <v>23</v>
      </c>
      <c r="B128" t="s">
        <v>29</v>
      </c>
      <c r="C128" s="4">
        <v>45413</v>
      </c>
      <c r="D128">
        <v>73</v>
      </c>
      <c r="E128">
        <v>8</v>
      </c>
      <c r="F128">
        <v>175.52</v>
      </c>
      <c r="G128">
        <v>7</v>
      </c>
      <c r="H128" s="5">
        <v>0.875</v>
      </c>
      <c r="I128">
        <v>455.32</v>
      </c>
      <c r="J128">
        <v>3</v>
      </c>
      <c r="K128" s="5">
        <v>9.35E-2</v>
      </c>
    </row>
    <row r="129" spans="1:11" x14ac:dyDescent="0.35">
      <c r="A129" t="s">
        <v>24</v>
      </c>
      <c r="B129" t="s">
        <v>29</v>
      </c>
      <c r="C129" s="4">
        <v>45413</v>
      </c>
      <c r="D129">
        <v>111</v>
      </c>
      <c r="E129">
        <v>13</v>
      </c>
      <c r="F129">
        <v>358.31</v>
      </c>
      <c r="G129">
        <v>0</v>
      </c>
      <c r="H129" s="5">
        <v>0</v>
      </c>
      <c r="I129">
        <v>2811.77</v>
      </c>
      <c r="J129">
        <v>2</v>
      </c>
      <c r="K129" s="5">
        <v>2.7099999999999999E-2</v>
      </c>
    </row>
    <row r="130" spans="1:11" x14ac:dyDescent="0.35">
      <c r="A130" t="s">
        <v>26</v>
      </c>
      <c r="B130" t="s">
        <v>29</v>
      </c>
      <c r="C130" s="4">
        <v>45413</v>
      </c>
      <c r="D130">
        <v>38</v>
      </c>
      <c r="E130">
        <v>12</v>
      </c>
      <c r="F130">
        <v>556.33000000000004</v>
      </c>
      <c r="G130">
        <v>4</v>
      </c>
      <c r="H130" s="5">
        <v>0.33333333333333331</v>
      </c>
      <c r="I130">
        <v>241.08</v>
      </c>
      <c r="J130">
        <v>1</v>
      </c>
      <c r="K130" s="5">
        <v>7.0599999999999996E-2</v>
      </c>
    </row>
    <row r="131" spans="1:11" x14ac:dyDescent="0.35">
      <c r="A131" t="s">
        <v>27</v>
      </c>
      <c r="B131" t="s">
        <v>29</v>
      </c>
      <c r="C131" s="4">
        <v>45413</v>
      </c>
      <c r="D131">
        <v>33</v>
      </c>
      <c r="E131">
        <v>17</v>
      </c>
      <c r="F131">
        <v>371.65</v>
      </c>
      <c r="G131">
        <v>9</v>
      </c>
      <c r="H131" s="5">
        <v>0.52941176470588236</v>
      </c>
      <c r="I131">
        <v>4068.75</v>
      </c>
      <c r="J131">
        <v>3</v>
      </c>
      <c r="K131" s="5">
        <v>8.5500000000000007E-2</v>
      </c>
    </row>
    <row r="132" spans="1:11" x14ac:dyDescent="0.35">
      <c r="A132" t="s">
        <v>0</v>
      </c>
      <c r="B132" t="s">
        <v>29</v>
      </c>
      <c r="C132" s="4">
        <v>45444</v>
      </c>
      <c r="D132">
        <v>59</v>
      </c>
      <c r="E132">
        <v>16</v>
      </c>
      <c r="F132">
        <v>359.47</v>
      </c>
      <c r="G132">
        <v>7</v>
      </c>
      <c r="H132" s="5">
        <v>0.4375</v>
      </c>
      <c r="I132">
        <v>3958.94</v>
      </c>
      <c r="J132">
        <v>2</v>
      </c>
      <c r="K132" s="5">
        <v>2.46E-2</v>
      </c>
    </row>
    <row r="133" spans="1:11" x14ac:dyDescent="0.35">
      <c r="A133" t="s">
        <v>2</v>
      </c>
      <c r="B133" t="s">
        <v>29</v>
      </c>
      <c r="C133" s="4">
        <v>45444</v>
      </c>
      <c r="D133">
        <v>71</v>
      </c>
      <c r="E133">
        <v>11</v>
      </c>
      <c r="F133">
        <v>379.33</v>
      </c>
      <c r="G133">
        <v>4</v>
      </c>
      <c r="H133" s="5">
        <v>0.36363636363636365</v>
      </c>
      <c r="I133">
        <v>4003.52</v>
      </c>
      <c r="J133">
        <v>1</v>
      </c>
      <c r="K133" s="5">
        <v>4.2900000000000001E-2</v>
      </c>
    </row>
    <row r="134" spans="1:11" x14ac:dyDescent="0.35">
      <c r="A134" t="s">
        <v>3</v>
      </c>
      <c r="B134" t="s">
        <v>29</v>
      </c>
      <c r="C134" s="4">
        <v>45444</v>
      </c>
      <c r="D134">
        <v>48</v>
      </c>
      <c r="E134">
        <v>14</v>
      </c>
      <c r="F134">
        <v>383.94</v>
      </c>
      <c r="G134">
        <v>3</v>
      </c>
      <c r="H134" s="5">
        <v>0.21428571428571427</v>
      </c>
      <c r="I134">
        <v>3173.36</v>
      </c>
      <c r="J134">
        <v>3</v>
      </c>
      <c r="K134" s="5">
        <v>4.0999999999999995E-2</v>
      </c>
    </row>
    <row r="135" spans="1:11" x14ac:dyDescent="0.35">
      <c r="A135" t="s">
        <v>4</v>
      </c>
      <c r="B135" t="s">
        <v>29</v>
      </c>
      <c r="C135" s="4">
        <v>45444</v>
      </c>
      <c r="D135">
        <v>18</v>
      </c>
      <c r="E135">
        <v>7</v>
      </c>
      <c r="F135">
        <v>85.32</v>
      </c>
      <c r="G135">
        <v>3</v>
      </c>
      <c r="H135" s="5">
        <v>0.42857142857142855</v>
      </c>
      <c r="I135">
        <v>1431.69</v>
      </c>
      <c r="J135">
        <v>2</v>
      </c>
      <c r="K135" s="5">
        <v>3.1600000000000003E-2</v>
      </c>
    </row>
    <row r="136" spans="1:11" x14ac:dyDescent="0.35">
      <c r="A136" t="s">
        <v>5</v>
      </c>
      <c r="B136" t="s">
        <v>29</v>
      </c>
      <c r="C136" s="4">
        <v>45444</v>
      </c>
      <c r="D136">
        <v>93</v>
      </c>
      <c r="E136">
        <v>14</v>
      </c>
      <c r="F136">
        <v>466.81</v>
      </c>
      <c r="G136">
        <v>5</v>
      </c>
      <c r="H136" s="5">
        <v>0.35714285714285715</v>
      </c>
      <c r="I136">
        <v>988.98</v>
      </c>
      <c r="J136">
        <v>1</v>
      </c>
      <c r="K136" s="5">
        <v>4.2300000000000004E-2</v>
      </c>
    </row>
    <row r="137" spans="1:11" x14ac:dyDescent="0.35">
      <c r="A137" t="s">
        <v>6</v>
      </c>
      <c r="B137" t="s">
        <v>30</v>
      </c>
      <c r="C137" s="4">
        <v>45444</v>
      </c>
      <c r="D137">
        <v>49</v>
      </c>
      <c r="E137">
        <v>7</v>
      </c>
      <c r="F137">
        <v>512.88</v>
      </c>
      <c r="G137">
        <v>2</v>
      </c>
      <c r="H137" s="5">
        <v>0.2857142857142857</v>
      </c>
      <c r="I137">
        <v>3545.66</v>
      </c>
      <c r="J137">
        <v>1</v>
      </c>
      <c r="K137" s="5">
        <v>1.2699999999999999E-2</v>
      </c>
    </row>
    <row r="138" spans="1:11" x14ac:dyDescent="0.35">
      <c r="A138" t="s">
        <v>7</v>
      </c>
      <c r="B138" t="s">
        <v>30</v>
      </c>
      <c r="C138" s="4">
        <v>45444</v>
      </c>
      <c r="D138">
        <v>85</v>
      </c>
      <c r="E138">
        <v>17</v>
      </c>
      <c r="F138">
        <v>324.56</v>
      </c>
      <c r="G138">
        <v>3</v>
      </c>
      <c r="H138" s="5">
        <v>0.17647058823529413</v>
      </c>
      <c r="I138">
        <v>2420.5300000000002</v>
      </c>
      <c r="J138">
        <v>3</v>
      </c>
      <c r="K138" s="5">
        <v>8.929999999999999E-2</v>
      </c>
    </row>
    <row r="139" spans="1:11" x14ac:dyDescent="0.35">
      <c r="A139" t="s">
        <v>8</v>
      </c>
      <c r="B139" t="s">
        <v>30</v>
      </c>
      <c r="C139" s="4">
        <v>45444</v>
      </c>
      <c r="D139">
        <v>61</v>
      </c>
      <c r="E139">
        <v>7</v>
      </c>
      <c r="F139">
        <v>219.53</v>
      </c>
      <c r="G139">
        <v>7</v>
      </c>
      <c r="H139" s="5">
        <v>1</v>
      </c>
      <c r="I139">
        <v>3860.12</v>
      </c>
      <c r="J139">
        <v>2</v>
      </c>
      <c r="K139" s="5">
        <v>4.3499999999999997E-2</v>
      </c>
    </row>
    <row r="140" spans="1:11" x14ac:dyDescent="0.35">
      <c r="A140" t="s">
        <v>9</v>
      </c>
      <c r="B140" t="s">
        <v>30</v>
      </c>
      <c r="C140" s="4">
        <v>45444</v>
      </c>
      <c r="D140">
        <v>30</v>
      </c>
      <c r="E140">
        <v>16</v>
      </c>
      <c r="F140">
        <v>353.65</v>
      </c>
      <c r="G140">
        <v>9</v>
      </c>
      <c r="H140" s="5">
        <v>0.5625</v>
      </c>
      <c r="I140">
        <v>1213.5899999999999</v>
      </c>
      <c r="J140">
        <v>1</v>
      </c>
      <c r="K140" s="5">
        <v>6.2E-2</v>
      </c>
    </row>
    <row r="141" spans="1:11" x14ac:dyDescent="0.35">
      <c r="A141" t="s">
        <v>10</v>
      </c>
      <c r="B141" t="s">
        <v>30</v>
      </c>
      <c r="C141" s="4">
        <v>45444</v>
      </c>
      <c r="D141">
        <v>54</v>
      </c>
      <c r="E141">
        <v>16</v>
      </c>
      <c r="F141">
        <v>334.41</v>
      </c>
      <c r="G141">
        <v>9</v>
      </c>
      <c r="H141" s="5">
        <v>0.5625</v>
      </c>
      <c r="I141">
        <v>1056.98</v>
      </c>
      <c r="J141">
        <v>3</v>
      </c>
      <c r="K141" s="5">
        <v>3.5200000000000002E-2</v>
      </c>
    </row>
    <row r="142" spans="1:11" x14ac:dyDescent="0.35">
      <c r="A142" t="s">
        <v>11</v>
      </c>
      <c r="B142" t="s">
        <v>30</v>
      </c>
      <c r="C142" s="4">
        <v>45444</v>
      </c>
      <c r="D142">
        <v>19</v>
      </c>
      <c r="E142">
        <v>7</v>
      </c>
      <c r="F142">
        <v>199.46</v>
      </c>
      <c r="G142">
        <v>7</v>
      </c>
      <c r="H142" s="5">
        <v>1</v>
      </c>
      <c r="I142">
        <v>809.56</v>
      </c>
      <c r="J142">
        <v>2</v>
      </c>
      <c r="K142" s="5">
        <v>7.1399999999999991E-2</v>
      </c>
    </row>
    <row r="143" spans="1:11" x14ac:dyDescent="0.35">
      <c r="A143" t="s">
        <v>12</v>
      </c>
      <c r="B143" t="s">
        <v>30</v>
      </c>
      <c r="C143" s="4">
        <v>45444</v>
      </c>
      <c r="D143">
        <v>40</v>
      </c>
      <c r="E143">
        <v>6</v>
      </c>
      <c r="F143">
        <v>509.67</v>
      </c>
      <c r="G143">
        <v>4</v>
      </c>
      <c r="H143" s="5">
        <v>0.66666666666666663</v>
      </c>
      <c r="I143">
        <v>3330.44</v>
      </c>
      <c r="J143">
        <v>1</v>
      </c>
      <c r="K143" s="5">
        <v>3.8300000000000001E-2</v>
      </c>
    </row>
    <row r="144" spans="1:11" x14ac:dyDescent="0.35">
      <c r="A144" t="s">
        <v>13</v>
      </c>
      <c r="B144" t="s">
        <v>30</v>
      </c>
      <c r="C144" s="4">
        <v>45444</v>
      </c>
      <c r="D144">
        <v>73</v>
      </c>
      <c r="E144">
        <v>21</v>
      </c>
      <c r="F144">
        <v>601.02</v>
      </c>
      <c r="G144">
        <v>2</v>
      </c>
      <c r="H144" s="5">
        <v>9.5238095238095233E-2</v>
      </c>
      <c r="I144">
        <v>364.56</v>
      </c>
      <c r="J144">
        <v>3</v>
      </c>
      <c r="K144" s="5">
        <v>3.4300000000000004E-2</v>
      </c>
    </row>
    <row r="145" spans="1:11" x14ac:dyDescent="0.35">
      <c r="A145" t="s">
        <v>14</v>
      </c>
      <c r="B145" t="s">
        <v>30</v>
      </c>
      <c r="C145" s="4">
        <v>45444</v>
      </c>
      <c r="D145">
        <v>36</v>
      </c>
      <c r="E145">
        <v>9</v>
      </c>
      <c r="F145">
        <v>196.74</v>
      </c>
      <c r="G145">
        <v>1</v>
      </c>
      <c r="H145" s="5">
        <v>0.1111111111111111</v>
      </c>
      <c r="I145">
        <v>3760.57</v>
      </c>
      <c r="J145">
        <v>2</v>
      </c>
      <c r="K145" s="5">
        <v>3.9800000000000002E-2</v>
      </c>
    </row>
    <row r="146" spans="1:11" x14ac:dyDescent="0.35">
      <c r="A146" t="s">
        <v>15</v>
      </c>
      <c r="B146" t="s">
        <v>30</v>
      </c>
      <c r="C146" s="4">
        <v>45444</v>
      </c>
      <c r="D146">
        <v>58</v>
      </c>
      <c r="E146">
        <v>8</v>
      </c>
      <c r="F146">
        <v>196.58</v>
      </c>
      <c r="G146">
        <v>3</v>
      </c>
      <c r="H146" s="5">
        <v>0.375</v>
      </c>
      <c r="I146">
        <v>692.47</v>
      </c>
      <c r="J146">
        <v>1</v>
      </c>
      <c r="K146" s="5">
        <v>3.27E-2</v>
      </c>
    </row>
    <row r="147" spans="1:11" x14ac:dyDescent="0.35">
      <c r="A147" t="s">
        <v>16</v>
      </c>
      <c r="B147" t="s">
        <v>30</v>
      </c>
      <c r="C147" s="4">
        <v>45444</v>
      </c>
      <c r="D147">
        <v>100</v>
      </c>
      <c r="E147">
        <v>5</v>
      </c>
      <c r="F147">
        <v>153.87</v>
      </c>
      <c r="G147">
        <v>2</v>
      </c>
      <c r="H147" s="5">
        <v>0.4</v>
      </c>
      <c r="I147">
        <v>1190.24</v>
      </c>
      <c r="J147">
        <v>3</v>
      </c>
      <c r="K147" s="5">
        <v>8.0600000000000005E-2</v>
      </c>
    </row>
    <row r="148" spans="1:11" x14ac:dyDescent="0.35">
      <c r="A148" t="s">
        <v>17</v>
      </c>
      <c r="B148" t="s">
        <v>30</v>
      </c>
      <c r="C148" s="4">
        <v>45444</v>
      </c>
      <c r="D148">
        <v>93</v>
      </c>
      <c r="E148">
        <v>5</v>
      </c>
      <c r="F148">
        <v>85.65</v>
      </c>
      <c r="G148">
        <v>5</v>
      </c>
      <c r="H148" s="5">
        <v>1</v>
      </c>
      <c r="I148">
        <v>3913.17</v>
      </c>
      <c r="J148">
        <v>2</v>
      </c>
      <c r="K148" s="5">
        <v>9.5700000000000007E-2</v>
      </c>
    </row>
    <row r="149" spans="1:11" x14ac:dyDescent="0.35">
      <c r="A149" t="s">
        <v>18</v>
      </c>
      <c r="B149" t="s">
        <v>30</v>
      </c>
      <c r="C149" s="4">
        <v>45444</v>
      </c>
      <c r="D149">
        <v>28</v>
      </c>
      <c r="E149">
        <v>16</v>
      </c>
      <c r="F149">
        <v>506.95</v>
      </c>
      <c r="G149">
        <v>6</v>
      </c>
      <c r="H149" s="5">
        <v>0.375</v>
      </c>
      <c r="I149">
        <v>3993.03</v>
      </c>
      <c r="J149">
        <v>3</v>
      </c>
      <c r="K149" s="5">
        <v>3.0600000000000002E-2</v>
      </c>
    </row>
    <row r="150" spans="1:11" x14ac:dyDescent="0.35">
      <c r="A150" t="s">
        <v>19</v>
      </c>
      <c r="B150" t="s">
        <v>30</v>
      </c>
      <c r="C150" s="4">
        <v>45444</v>
      </c>
      <c r="D150">
        <v>88</v>
      </c>
      <c r="E150">
        <v>18</v>
      </c>
      <c r="F150">
        <v>181.21</v>
      </c>
      <c r="G150">
        <v>4</v>
      </c>
      <c r="H150" s="5">
        <v>0.22222222222222221</v>
      </c>
      <c r="I150">
        <v>377.13</v>
      </c>
      <c r="J150">
        <v>2</v>
      </c>
      <c r="K150" s="5">
        <v>0.10009999999999999</v>
      </c>
    </row>
    <row r="151" spans="1:11" x14ac:dyDescent="0.35">
      <c r="A151" t="s">
        <v>20</v>
      </c>
      <c r="B151" t="s">
        <v>30</v>
      </c>
      <c r="C151" s="4">
        <v>45444</v>
      </c>
      <c r="D151">
        <v>69</v>
      </c>
      <c r="E151">
        <v>16</v>
      </c>
      <c r="F151">
        <v>495.32</v>
      </c>
      <c r="G151">
        <v>0</v>
      </c>
      <c r="H151" s="5">
        <v>0</v>
      </c>
      <c r="I151">
        <v>1262.99</v>
      </c>
      <c r="J151">
        <v>1</v>
      </c>
      <c r="K151" s="5">
        <v>1E-3</v>
      </c>
    </row>
    <row r="152" spans="1:11" x14ac:dyDescent="0.35">
      <c r="A152" t="s">
        <v>21</v>
      </c>
      <c r="B152" t="s">
        <v>30</v>
      </c>
      <c r="C152" s="4">
        <v>45444</v>
      </c>
      <c r="D152">
        <v>21</v>
      </c>
      <c r="E152">
        <v>16</v>
      </c>
      <c r="F152">
        <v>315.91000000000003</v>
      </c>
      <c r="G152">
        <v>1</v>
      </c>
      <c r="H152" s="5">
        <v>6.25E-2</v>
      </c>
      <c r="I152">
        <v>1455.83</v>
      </c>
      <c r="J152">
        <v>3</v>
      </c>
      <c r="K152" s="5">
        <v>5.1299999999999998E-2</v>
      </c>
    </row>
    <row r="153" spans="1:11" x14ac:dyDescent="0.35">
      <c r="A153" t="s">
        <v>22</v>
      </c>
      <c r="B153" t="s">
        <v>30</v>
      </c>
      <c r="C153" s="4">
        <v>45444</v>
      </c>
      <c r="D153">
        <v>92</v>
      </c>
      <c r="E153">
        <v>5</v>
      </c>
      <c r="F153">
        <v>569.75</v>
      </c>
      <c r="G153">
        <v>2</v>
      </c>
      <c r="H153" s="5">
        <v>0.4</v>
      </c>
      <c r="I153">
        <v>3734.43</v>
      </c>
      <c r="J153">
        <v>2</v>
      </c>
      <c r="K153" s="5">
        <v>2.76E-2</v>
      </c>
    </row>
    <row r="154" spans="1:11" x14ac:dyDescent="0.35">
      <c r="A154" t="s">
        <v>23</v>
      </c>
      <c r="B154" t="s">
        <v>30</v>
      </c>
      <c r="C154" s="4">
        <v>45444</v>
      </c>
      <c r="D154">
        <v>58</v>
      </c>
      <c r="E154">
        <v>7</v>
      </c>
      <c r="F154">
        <v>173.24</v>
      </c>
      <c r="G154">
        <v>7</v>
      </c>
      <c r="H154" s="5">
        <v>1</v>
      </c>
      <c r="I154">
        <v>525.73</v>
      </c>
      <c r="J154">
        <v>1</v>
      </c>
      <c r="K154" s="5">
        <v>8.2299999999999998E-2</v>
      </c>
    </row>
    <row r="155" spans="1:11" x14ac:dyDescent="0.35">
      <c r="A155" t="s">
        <v>24</v>
      </c>
      <c r="B155" t="s">
        <v>30</v>
      </c>
      <c r="C155" s="4">
        <v>45444</v>
      </c>
      <c r="D155">
        <v>114</v>
      </c>
      <c r="E155">
        <v>13</v>
      </c>
      <c r="F155">
        <v>364.35</v>
      </c>
      <c r="G155">
        <v>0</v>
      </c>
      <c r="H155" s="5">
        <v>0</v>
      </c>
      <c r="I155">
        <v>2988.28</v>
      </c>
      <c r="J155">
        <v>3</v>
      </c>
      <c r="K155" s="5">
        <v>2.58E-2</v>
      </c>
    </row>
    <row r="156" spans="1:11" x14ac:dyDescent="0.35">
      <c r="A156" t="s">
        <v>26</v>
      </c>
      <c r="B156" t="s">
        <v>30</v>
      </c>
      <c r="C156" s="4">
        <v>45444</v>
      </c>
      <c r="D156">
        <v>35</v>
      </c>
      <c r="E156">
        <v>12</v>
      </c>
      <c r="F156">
        <v>515.24</v>
      </c>
      <c r="G156">
        <v>5</v>
      </c>
      <c r="H156" s="5">
        <v>0.41666666666666669</v>
      </c>
      <c r="I156">
        <v>224.24</v>
      </c>
      <c r="J156">
        <v>2</v>
      </c>
      <c r="K156" s="5">
        <v>6.9800000000000001E-2</v>
      </c>
    </row>
    <row r="157" spans="1:11" x14ac:dyDescent="0.35">
      <c r="A157" t="s">
        <v>27</v>
      </c>
      <c r="B157" t="s">
        <v>30</v>
      </c>
      <c r="C157" s="4">
        <v>45444</v>
      </c>
      <c r="D157">
        <v>35</v>
      </c>
      <c r="E157">
        <v>16</v>
      </c>
      <c r="F157">
        <v>351.71</v>
      </c>
      <c r="G157">
        <v>9</v>
      </c>
      <c r="H157" s="5">
        <v>0.5625</v>
      </c>
      <c r="I157">
        <v>3984.69</v>
      </c>
      <c r="J157">
        <v>1</v>
      </c>
      <c r="K157" s="5">
        <v>7.4099999999999999E-2</v>
      </c>
    </row>
    <row r="158" spans="1:11" x14ac:dyDescent="0.35">
      <c r="A158" t="s">
        <v>0</v>
      </c>
      <c r="B158" t="s">
        <v>30</v>
      </c>
      <c r="C158" s="4">
        <v>45474</v>
      </c>
      <c r="D158">
        <v>71</v>
      </c>
      <c r="E158">
        <v>17</v>
      </c>
      <c r="F158">
        <v>360.1</v>
      </c>
      <c r="G158">
        <v>6</v>
      </c>
      <c r="H158" s="5">
        <v>0.35294117647058826</v>
      </c>
      <c r="I158">
        <v>4444.83</v>
      </c>
      <c r="J158">
        <v>3</v>
      </c>
      <c r="K158" s="5">
        <v>2.9500000000000002E-2</v>
      </c>
    </row>
    <row r="159" spans="1:11" x14ac:dyDescent="0.35">
      <c r="A159" t="s">
        <v>2</v>
      </c>
      <c r="B159" t="s">
        <v>30</v>
      </c>
      <c r="C159" s="4">
        <v>45474</v>
      </c>
      <c r="D159">
        <v>62</v>
      </c>
      <c r="E159">
        <v>13</v>
      </c>
      <c r="F159">
        <v>364.64</v>
      </c>
      <c r="G159">
        <v>4</v>
      </c>
      <c r="H159" s="5">
        <v>0.30769230769230771</v>
      </c>
      <c r="I159">
        <v>3704.33</v>
      </c>
      <c r="J159">
        <v>2</v>
      </c>
      <c r="K159" s="5">
        <v>3.7499999999999999E-2</v>
      </c>
    </row>
    <row r="160" spans="1:11" x14ac:dyDescent="0.35">
      <c r="A160" t="s">
        <v>3</v>
      </c>
      <c r="B160" t="s">
        <v>30</v>
      </c>
      <c r="C160" s="4">
        <v>45474</v>
      </c>
      <c r="D160">
        <v>53</v>
      </c>
      <c r="E160">
        <v>14</v>
      </c>
      <c r="F160">
        <v>367.56</v>
      </c>
      <c r="G160">
        <v>2</v>
      </c>
      <c r="H160" s="5">
        <v>0.14285714285714285</v>
      </c>
      <c r="I160">
        <v>3514.07</v>
      </c>
      <c r="J160">
        <v>1</v>
      </c>
      <c r="K160" s="5">
        <v>4.0099999999999997E-2</v>
      </c>
    </row>
    <row r="161" spans="1:11" x14ac:dyDescent="0.35">
      <c r="A161" t="s">
        <v>4</v>
      </c>
      <c r="B161" t="s">
        <v>30</v>
      </c>
      <c r="C161" s="4">
        <v>45474</v>
      </c>
      <c r="D161">
        <v>18</v>
      </c>
      <c r="E161">
        <v>6</v>
      </c>
      <c r="F161">
        <v>76.27</v>
      </c>
      <c r="G161">
        <v>4</v>
      </c>
      <c r="H161" s="5">
        <v>0.66666666666666663</v>
      </c>
      <c r="I161">
        <v>1597.98</v>
      </c>
      <c r="J161">
        <v>1</v>
      </c>
      <c r="K161" s="5">
        <v>2.81E-2</v>
      </c>
    </row>
    <row r="162" spans="1:11" x14ac:dyDescent="0.35">
      <c r="A162" t="s">
        <v>5</v>
      </c>
      <c r="B162" t="s">
        <v>30</v>
      </c>
      <c r="C162" s="4">
        <v>45474</v>
      </c>
      <c r="D162">
        <v>71</v>
      </c>
      <c r="E162">
        <v>12</v>
      </c>
      <c r="F162">
        <v>487.04</v>
      </c>
      <c r="G162">
        <v>5</v>
      </c>
      <c r="H162" s="5">
        <v>0.41666666666666669</v>
      </c>
      <c r="I162">
        <v>1004.9</v>
      </c>
      <c r="J162">
        <v>3</v>
      </c>
      <c r="K162" s="5">
        <v>4.2099999999999999E-2</v>
      </c>
    </row>
    <row r="163" spans="1:11" x14ac:dyDescent="0.35">
      <c r="A163" t="s">
        <v>6</v>
      </c>
      <c r="B163" t="s">
        <v>30</v>
      </c>
      <c r="C163" s="4">
        <v>45474</v>
      </c>
      <c r="D163">
        <v>70</v>
      </c>
      <c r="E163">
        <v>5</v>
      </c>
      <c r="F163">
        <v>491.31</v>
      </c>
      <c r="G163">
        <v>3</v>
      </c>
      <c r="H163" s="5">
        <v>0.6</v>
      </c>
      <c r="I163">
        <v>3289.06</v>
      </c>
      <c r="J163">
        <v>2</v>
      </c>
      <c r="K163" s="5">
        <v>1.1299999999999999E-2</v>
      </c>
    </row>
    <row r="164" spans="1:11" x14ac:dyDescent="0.35">
      <c r="A164" t="s">
        <v>7</v>
      </c>
      <c r="B164" t="s">
        <v>30</v>
      </c>
      <c r="C164" s="4">
        <v>45474</v>
      </c>
      <c r="D164">
        <v>77</v>
      </c>
      <c r="E164">
        <v>15</v>
      </c>
      <c r="F164">
        <v>282.58999999999997</v>
      </c>
      <c r="G164">
        <v>2</v>
      </c>
      <c r="H164" s="5">
        <v>0.13333333333333333</v>
      </c>
      <c r="I164">
        <v>2296.14</v>
      </c>
      <c r="J164">
        <v>1</v>
      </c>
      <c r="K164" s="5">
        <v>9.5799999999999996E-2</v>
      </c>
    </row>
    <row r="165" spans="1:11" x14ac:dyDescent="0.35">
      <c r="A165" t="s">
        <v>8</v>
      </c>
      <c r="B165" t="s">
        <v>30</v>
      </c>
      <c r="C165" s="4">
        <v>45474</v>
      </c>
      <c r="D165">
        <v>50</v>
      </c>
      <c r="E165">
        <v>9</v>
      </c>
      <c r="F165">
        <v>246.06</v>
      </c>
      <c r="G165">
        <v>5</v>
      </c>
      <c r="H165" s="5">
        <v>0.55555555555555558</v>
      </c>
      <c r="I165">
        <v>4227.22</v>
      </c>
      <c r="J165">
        <v>3</v>
      </c>
      <c r="K165" s="5">
        <v>3.7200000000000004E-2</v>
      </c>
    </row>
    <row r="166" spans="1:11" x14ac:dyDescent="0.35">
      <c r="A166" t="s">
        <v>9</v>
      </c>
      <c r="B166" t="s">
        <v>30</v>
      </c>
      <c r="C166" s="4">
        <v>45474</v>
      </c>
      <c r="D166">
        <v>31</v>
      </c>
      <c r="E166">
        <v>15</v>
      </c>
      <c r="F166">
        <v>347.38</v>
      </c>
      <c r="G166">
        <v>10</v>
      </c>
      <c r="H166" s="5">
        <v>0.66666666666666663</v>
      </c>
      <c r="I166">
        <v>1101.06</v>
      </c>
      <c r="J166">
        <v>2</v>
      </c>
      <c r="K166" s="5">
        <v>6.0100000000000001E-2</v>
      </c>
    </row>
    <row r="167" spans="1:11" x14ac:dyDescent="0.35">
      <c r="A167" t="s">
        <v>10</v>
      </c>
      <c r="B167" t="s">
        <v>30</v>
      </c>
      <c r="C167" s="4">
        <v>45474</v>
      </c>
      <c r="D167">
        <v>77</v>
      </c>
      <c r="E167">
        <v>16</v>
      </c>
      <c r="F167">
        <v>335.59</v>
      </c>
      <c r="G167">
        <v>7</v>
      </c>
      <c r="H167" s="5">
        <v>0.4375</v>
      </c>
      <c r="I167">
        <v>1087.4100000000001</v>
      </c>
      <c r="J167">
        <v>1</v>
      </c>
      <c r="K167" s="5">
        <v>3.6900000000000002E-2</v>
      </c>
    </row>
    <row r="168" spans="1:11" x14ac:dyDescent="0.35">
      <c r="A168" t="s">
        <v>11</v>
      </c>
      <c r="B168" t="s">
        <v>30</v>
      </c>
      <c r="C168" s="4">
        <v>45474</v>
      </c>
      <c r="D168">
        <v>17</v>
      </c>
      <c r="E168">
        <v>8</v>
      </c>
      <c r="F168">
        <v>208.21</v>
      </c>
      <c r="G168">
        <v>4</v>
      </c>
      <c r="H168" s="5">
        <v>0.5</v>
      </c>
      <c r="I168">
        <v>828.73</v>
      </c>
      <c r="J168">
        <v>3</v>
      </c>
      <c r="K168" s="5">
        <v>7.4200000000000002E-2</v>
      </c>
    </row>
    <row r="169" spans="1:11" x14ac:dyDescent="0.35">
      <c r="A169" t="s">
        <v>12</v>
      </c>
      <c r="B169" t="s">
        <v>30</v>
      </c>
      <c r="C169" s="4">
        <v>45474</v>
      </c>
      <c r="D169">
        <v>32</v>
      </c>
      <c r="E169">
        <v>6</v>
      </c>
      <c r="F169">
        <v>553.58000000000004</v>
      </c>
      <c r="G169">
        <v>3</v>
      </c>
      <c r="H169" s="5">
        <v>0.5</v>
      </c>
      <c r="I169">
        <v>3939.56</v>
      </c>
      <c r="J169">
        <v>2</v>
      </c>
      <c r="K169" s="5">
        <v>3.78E-2</v>
      </c>
    </row>
    <row r="170" spans="1:11" x14ac:dyDescent="0.35">
      <c r="A170" t="s">
        <v>13</v>
      </c>
      <c r="B170" t="s">
        <v>30</v>
      </c>
      <c r="C170" s="4">
        <v>45474</v>
      </c>
      <c r="D170">
        <v>72</v>
      </c>
      <c r="E170">
        <v>21</v>
      </c>
      <c r="F170">
        <v>604.57000000000005</v>
      </c>
      <c r="G170">
        <v>2</v>
      </c>
      <c r="H170" s="5">
        <v>9.5238095238095233E-2</v>
      </c>
      <c r="I170">
        <v>327.82</v>
      </c>
      <c r="J170">
        <v>1</v>
      </c>
      <c r="K170" s="5">
        <v>3.6699999999999997E-2</v>
      </c>
    </row>
    <row r="171" spans="1:11" x14ac:dyDescent="0.35">
      <c r="A171" t="s">
        <v>14</v>
      </c>
      <c r="B171" t="s">
        <v>30</v>
      </c>
      <c r="C171" s="4">
        <v>45474</v>
      </c>
      <c r="D171">
        <v>34</v>
      </c>
      <c r="E171">
        <v>7</v>
      </c>
      <c r="F171">
        <v>199.39</v>
      </c>
      <c r="G171">
        <v>1</v>
      </c>
      <c r="H171" s="5">
        <v>0.14285714285714285</v>
      </c>
      <c r="I171">
        <v>3767.74</v>
      </c>
      <c r="J171">
        <v>3</v>
      </c>
      <c r="K171" s="5">
        <v>3.85E-2</v>
      </c>
    </row>
    <row r="172" spans="1:11" x14ac:dyDescent="0.35">
      <c r="A172" t="s">
        <v>15</v>
      </c>
      <c r="B172" t="s">
        <v>30</v>
      </c>
      <c r="C172" s="4">
        <v>45474</v>
      </c>
      <c r="D172">
        <v>71</v>
      </c>
      <c r="E172">
        <v>9</v>
      </c>
      <c r="F172">
        <v>220.4</v>
      </c>
      <c r="G172">
        <v>2</v>
      </c>
      <c r="H172" s="5">
        <v>0.22222222222222221</v>
      </c>
      <c r="I172">
        <v>692.29</v>
      </c>
      <c r="J172">
        <v>2</v>
      </c>
      <c r="K172" s="5">
        <v>2.8999999999999998E-2</v>
      </c>
    </row>
    <row r="173" spans="1:11" x14ac:dyDescent="0.35">
      <c r="A173" t="s">
        <v>16</v>
      </c>
      <c r="B173" t="s">
        <v>30</v>
      </c>
      <c r="C173" s="4">
        <v>45474</v>
      </c>
      <c r="D173">
        <v>83</v>
      </c>
      <c r="E173">
        <v>5</v>
      </c>
      <c r="F173">
        <v>166.85</v>
      </c>
      <c r="G173">
        <v>4</v>
      </c>
      <c r="H173" s="5">
        <v>0.8</v>
      </c>
      <c r="I173">
        <v>1364.24</v>
      </c>
      <c r="J173">
        <v>1</v>
      </c>
      <c r="K173" s="5">
        <v>8.3100000000000007E-2</v>
      </c>
    </row>
    <row r="174" spans="1:11" x14ac:dyDescent="0.35">
      <c r="A174" t="s">
        <v>17</v>
      </c>
      <c r="B174" t="s">
        <v>30</v>
      </c>
      <c r="C174" s="4">
        <v>45474</v>
      </c>
      <c r="D174">
        <v>71</v>
      </c>
      <c r="E174">
        <v>7</v>
      </c>
      <c r="F174">
        <v>78.53</v>
      </c>
      <c r="G174">
        <v>4</v>
      </c>
      <c r="H174" s="5">
        <v>0.5714285714285714</v>
      </c>
      <c r="I174">
        <v>3652.64</v>
      </c>
      <c r="J174">
        <v>3</v>
      </c>
      <c r="K174" s="5">
        <v>8.6999999999999994E-2</v>
      </c>
    </row>
    <row r="175" spans="1:11" x14ac:dyDescent="0.35">
      <c r="A175" t="s">
        <v>18</v>
      </c>
      <c r="B175" t="s">
        <v>30</v>
      </c>
      <c r="C175" s="4">
        <v>45474</v>
      </c>
      <c r="D175">
        <v>24</v>
      </c>
      <c r="E175">
        <v>13</v>
      </c>
      <c r="F175">
        <v>471.72</v>
      </c>
      <c r="G175">
        <v>7</v>
      </c>
      <c r="H175" s="5">
        <v>0.53846153846153844</v>
      </c>
      <c r="I175">
        <v>3588.89</v>
      </c>
      <c r="J175">
        <v>2</v>
      </c>
      <c r="K175" s="5">
        <v>3.5400000000000001E-2</v>
      </c>
    </row>
    <row r="176" spans="1:11" x14ac:dyDescent="0.35">
      <c r="A176" t="s">
        <v>19</v>
      </c>
      <c r="B176" t="s">
        <v>30</v>
      </c>
      <c r="C176" s="4">
        <v>45474</v>
      </c>
      <c r="D176">
        <v>75</v>
      </c>
      <c r="E176">
        <v>17</v>
      </c>
      <c r="F176">
        <v>176.07</v>
      </c>
      <c r="G176">
        <v>5</v>
      </c>
      <c r="H176" s="5">
        <v>0.29411764705882354</v>
      </c>
      <c r="I176">
        <v>458.18</v>
      </c>
      <c r="J176">
        <v>1</v>
      </c>
      <c r="K176" s="5">
        <v>9.9399999999999988E-2</v>
      </c>
    </row>
    <row r="177" spans="1:11" x14ac:dyDescent="0.35">
      <c r="A177" t="s">
        <v>20</v>
      </c>
      <c r="B177" t="s">
        <v>30</v>
      </c>
      <c r="C177" s="4">
        <v>45474</v>
      </c>
      <c r="D177">
        <v>76</v>
      </c>
      <c r="E177">
        <v>11</v>
      </c>
      <c r="F177">
        <v>486.93</v>
      </c>
      <c r="G177">
        <v>0</v>
      </c>
      <c r="H177" s="5">
        <v>0</v>
      </c>
      <c r="I177">
        <v>1219.29</v>
      </c>
      <c r="J177">
        <v>3</v>
      </c>
      <c r="K177" s="5">
        <v>1E-3</v>
      </c>
    </row>
    <row r="178" spans="1:11" x14ac:dyDescent="0.35">
      <c r="A178" t="s">
        <v>21</v>
      </c>
      <c r="B178" t="s">
        <v>30</v>
      </c>
      <c r="C178" s="4">
        <v>45474</v>
      </c>
      <c r="D178">
        <v>20</v>
      </c>
      <c r="E178">
        <v>14</v>
      </c>
      <c r="F178">
        <v>283.66000000000003</v>
      </c>
      <c r="G178">
        <v>2</v>
      </c>
      <c r="H178" s="5">
        <v>0.14285714285714285</v>
      </c>
      <c r="I178">
        <v>1494.14</v>
      </c>
      <c r="J178">
        <v>2</v>
      </c>
      <c r="K178" s="5">
        <v>5.7800000000000004E-2</v>
      </c>
    </row>
    <row r="179" spans="1:11" x14ac:dyDescent="0.35">
      <c r="A179" t="s">
        <v>22</v>
      </c>
      <c r="B179" t="s">
        <v>30</v>
      </c>
      <c r="C179" s="4">
        <v>45474</v>
      </c>
      <c r="D179">
        <v>79</v>
      </c>
      <c r="E179">
        <v>6</v>
      </c>
      <c r="F179">
        <v>536.04999999999995</v>
      </c>
      <c r="G179">
        <v>1</v>
      </c>
      <c r="H179" s="5">
        <v>0.16666666666666666</v>
      </c>
      <c r="I179">
        <v>3682.29</v>
      </c>
      <c r="J179">
        <v>1</v>
      </c>
      <c r="K179" s="5">
        <v>3.2099999999999997E-2</v>
      </c>
    </row>
    <row r="180" spans="1:11" x14ac:dyDescent="0.35">
      <c r="A180" t="s">
        <v>23</v>
      </c>
      <c r="B180" t="s">
        <v>30</v>
      </c>
      <c r="C180" s="4">
        <v>45474</v>
      </c>
      <c r="D180">
        <v>82</v>
      </c>
      <c r="E180">
        <v>9</v>
      </c>
      <c r="F180">
        <v>171.86</v>
      </c>
      <c r="G180">
        <v>7</v>
      </c>
      <c r="H180" s="5">
        <v>0.77777777777777779</v>
      </c>
      <c r="I180">
        <v>506.88</v>
      </c>
      <c r="J180">
        <v>3</v>
      </c>
      <c r="K180" s="5">
        <v>9.4100000000000003E-2</v>
      </c>
    </row>
    <row r="181" spans="1:11" x14ac:dyDescent="0.35">
      <c r="A181" t="s">
        <v>24</v>
      </c>
      <c r="B181" t="s">
        <v>30</v>
      </c>
      <c r="C181" s="4">
        <v>45474</v>
      </c>
      <c r="D181">
        <v>103</v>
      </c>
      <c r="E181">
        <v>15</v>
      </c>
      <c r="F181">
        <v>359.16</v>
      </c>
      <c r="G181">
        <v>1</v>
      </c>
      <c r="H181" s="5">
        <v>6.6666666666666666E-2</v>
      </c>
      <c r="I181">
        <v>2949.94</v>
      </c>
      <c r="J181">
        <v>2</v>
      </c>
      <c r="K181" s="5">
        <v>2.3599999999999999E-2</v>
      </c>
    </row>
    <row r="182" spans="1:11" x14ac:dyDescent="0.35">
      <c r="A182" t="s">
        <v>26</v>
      </c>
      <c r="B182" t="s">
        <v>30</v>
      </c>
      <c r="C182" s="4">
        <v>45474</v>
      </c>
      <c r="D182">
        <v>41</v>
      </c>
      <c r="E182">
        <v>9</v>
      </c>
      <c r="F182">
        <v>569.97</v>
      </c>
      <c r="G182">
        <v>5</v>
      </c>
      <c r="H182" s="5">
        <v>0.55555555555555558</v>
      </c>
      <c r="I182">
        <v>259.86</v>
      </c>
      <c r="J182">
        <v>1</v>
      </c>
      <c r="K182" s="5">
        <v>6.3299999999999995E-2</v>
      </c>
    </row>
    <row r="183" spans="1:11" x14ac:dyDescent="0.35">
      <c r="A183" t="s">
        <v>27</v>
      </c>
      <c r="B183" t="s">
        <v>30</v>
      </c>
      <c r="C183" s="4">
        <v>45474</v>
      </c>
      <c r="D183">
        <v>38</v>
      </c>
      <c r="E183">
        <v>14</v>
      </c>
      <c r="F183">
        <v>359.22</v>
      </c>
      <c r="G183">
        <v>8</v>
      </c>
      <c r="H183" s="5">
        <v>0.5714285714285714</v>
      </c>
      <c r="I183">
        <v>3846.34</v>
      </c>
      <c r="J183">
        <v>3</v>
      </c>
      <c r="K183" s="5">
        <v>8.5900000000000004E-2</v>
      </c>
    </row>
    <row r="184" spans="1:11" x14ac:dyDescent="0.35">
      <c r="A184" t="s">
        <v>0</v>
      </c>
      <c r="B184" t="s">
        <v>30</v>
      </c>
      <c r="C184" s="4">
        <v>45505</v>
      </c>
      <c r="D184">
        <v>71</v>
      </c>
      <c r="E184">
        <v>15</v>
      </c>
      <c r="F184">
        <v>297.05</v>
      </c>
      <c r="G184">
        <v>6</v>
      </c>
      <c r="H184" s="5">
        <v>0.4</v>
      </c>
      <c r="I184">
        <v>4043.62</v>
      </c>
      <c r="J184">
        <v>2</v>
      </c>
      <c r="K184" s="5">
        <v>2.7200000000000002E-2</v>
      </c>
    </row>
    <row r="185" spans="1:11" x14ac:dyDescent="0.35">
      <c r="A185" t="s">
        <v>2</v>
      </c>
      <c r="B185" t="s">
        <v>30</v>
      </c>
      <c r="C185" s="4">
        <v>45505</v>
      </c>
      <c r="D185">
        <v>66</v>
      </c>
      <c r="E185">
        <v>13</v>
      </c>
      <c r="F185">
        <v>376.76</v>
      </c>
      <c r="G185">
        <v>5</v>
      </c>
      <c r="H185" s="5">
        <v>0.38461538461538464</v>
      </c>
      <c r="I185">
        <v>3819.73</v>
      </c>
      <c r="J185">
        <v>1</v>
      </c>
      <c r="K185" s="5">
        <v>4.4900000000000002E-2</v>
      </c>
    </row>
    <row r="186" spans="1:11" x14ac:dyDescent="0.35">
      <c r="A186" t="s">
        <v>3</v>
      </c>
      <c r="B186" t="s">
        <v>30</v>
      </c>
      <c r="C186" s="4">
        <v>45505</v>
      </c>
      <c r="D186">
        <v>53</v>
      </c>
      <c r="E186">
        <v>15</v>
      </c>
      <c r="F186">
        <v>379.29</v>
      </c>
      <c r="G186">
        <v>2</v>
      </c>
      <c r="H186" s="5">
        <v>0.13333333333333333</v>
      </c>
      <c r="I186">
        <v>3409.69</v>
      </c>
      <c r="J186">
        <v>1</v>
      </c>
      <c r="K186" s="5">
        <v>4.41E-2</v>
      </c>
    </row>
    <row r="187" spans="1:11" x14ac:dyDescent="0.35">
      <c r="A187" t="s">
        <v>4</v>
      </c>
      <c r="B187" t="s">
        <v>30</v>
      </c>
      <c r="C187" s="4">
        <v>45505</v>
      </c>
      <c r="D187">
        <v>18</v>
      </c>
      <c r="E187">
        <v>8</v>
      </c>
      <c r="F187">
        <v>82.91</v>
      </c>
      <c r="G187">
        <v>3</v>
      </c>
      <c r="H187" s="5">
        <v>0.375</v>
      </c>
      <c r="I187">
        <v>1387.86</v>
      </c>
      <c r="J187">
        <v>3</v>
      </c>
      <c r="K187" s="5">
        <v>3.0099999999999998E-2</v>
      </c>
    </row>
    <row r="188" spans="1:11" x14ac:dyDescent="0.35">
      <c r="A188" t="s">
        <v>5</v>
      </c>
      <c r="B188" t="s">
        <v>30</v>
      </c>
      <c r="C188" s="4">
        <v>45505</v>
      </c>
      <c r="D188">
        <v>72</v>
      </c>
      <c r="E188">
        <v>14</v>
      </c>
      <c r="F188">
        <v>437.47</v>
      </c>
      <c r="G188">
        <v>4</v>
      </c>
      <c r="H188" s="5">
        <v>0.2857142857142857</v>
      </c>
      <c r="I188">
        <v>958.02</v>
      </c>
      <c r="J188">
        <v>2</v>
      </c>
      <c r="K188" s="5">
        <v>3.9100000000000003E-2</v>
      </c>
    </row>
    <row r="189" spans="1:11" x14ac:dyDescent="0.35">
      <c r="A189" t="s">
        <v>6</v>
      </c>
      <c r="B189" t="s">
        <v>30</v>
      </c>
      <c r="C189" s="4">
        <v>45505</v>
      </c>
      <c r="D189">
        <v>64</v>
      </c>
      <c r="E189">
        <v>7</v>
      </c>
      <c r="F189">
        <v>554.20000000000005</v>
      </c>
      <c r="G189">
        <v>2</v>
      </c>
      <c r="H189" s="5">
        <v>0.2857142857142857</v>
      </c>
      <c r="I189">
        <v>3620.9</v>
      </c>
      <c r="J189">
        <v>1</v>
      </c>
      <c r="K189" s="5">
        <v>1.23E-2</v>
      </c>
    </row>
    <row r="190" spans="1:11" x14ac:dyDescent="0.35">
      <c r="A190" t="s">
        <v>7</v>
      </c>
      <c r="B190" t="s">
        <v>30</v>
      </c>
      <c r="C190" s="4">
        <v>45505</v>
      </c>
      <c r="D190">
        <v>76</v>
      </c>
      <c r="E190">
        <v>21</v>
      </c>
      <c r="F190">
        <v>293.93</v>
      </c>
      <c r="G190">
        <v>2</v>
      </c>
      <c r="H190" s="5">
        <v>9.5238095238095233E-2</v>
      </c>
      <c r="I190">
        <v>2531.4</v>
      </c>
      <c r="J190">
        <v>3</v>
      </c>
      <c r="K190" s="5">
        <v>0.1012</v>
      </c>
    </row>
    <row r="191" spans="1:11" x14ac:dyDescent="0.35">
      <c r="A191" t="s">
        <v>8</v>
      </c>
      <c r="B191" t="s">
        <v>30</v>
      </c>
      <c r="C191" s="4">
        <v>45505</v>
      </c>
      <c r="D191">
        <v>64</v>
      </c>
      <c r="E191">
        <v>9</v>
      </c>
      <c r="F191">
        <v>255.17</v>
      </c>
      <c r="G191">
        <v>6</v>
      </c>
      <c r="H191" s="5">
        <v>0.66666666666666663</v>
      </c>
      <c r="I191">
        <v>4136.6899999999996</v>
      </c>
      <c r="J191">
        <v>2</v>
      </c>
      <c r="K191" s="5">
        <v>3.8199999999999998E-2</v>
      </c>
    </row>
    <row r="192" spans="1:11" x14ac:dyDescent="0.35">
      <c r="A192" t="s">
        <v>9</v>
      </c>
      <c r="B192" t="s">
        <v>30</v>
      </c>
      <c r="C192" s="4">
        <v>45505</v>
      </c>
      <c r="D192">
        <v>26</v>
      </c>
      <c r="E192">
        <v>17</v>
      </c>
      <c r="F192">
        <v>391.73</v>
      </c>
      <c r="G192">
        <v>7</v>
      </c>
      <c r="H192" s="5">
        <v>0.41176470588235292</v>
      </c>
      <c r="I192">
        <v>1166.55</v>
      </c>
      <c r="J192">
        <v>1</v>
      </c>
      <c r="K192" s="5">
        <v>6.1200000000000004E-2</v>
      </c>
    </row>
    <row r="193" spans="1:11" x14ac:dyDescent="0.35">
      <c r="A193" t="s">
        <v>10</v>
      </c>
      <c r="B193" t="s">
        <v>30</v>
      </c>
      <c r="C193" s="4">
        <v>45505</v>
      </c>
      <c r="D193">
        <v>65</v>
      </c>
      <c r="E193">
        <v>13</v>
      </c>
      <c r="F193">
        <v>324.26</v>
      </c>
      <c r="G193">
        <v>7</v>
      </c>
      <c r="H193" s="5">
        <v>0.53846153846153844</v>
      </c>
      <c r="I193">
        <v>1044.8599999999999</v>
      </c>
      <c r="J193">
        <v>3</v>
      </c>
      <c r="K193" s="5">
        <v>3.5200000000000002E-2</v>
      </c>
    </row>
    <row r="194" spans="1:11" x14ac:dyDescent="0.35">
      <c r="A194" t="s">
        <v>11</v>
      </c>
      <c r="B194" t="s">
        <v>30</v>
      </c>
      <c r="C194" s="4">
        <v>45505</v>
      </c>
      <c r="D194">
        <v>22</v>
      </c>
      <c r="E194">
        <v>9</v>
      </c>
      <c r="F194">
        <v>211.28</v>
      </c>
      <c r="G194">
        <v>8</v>
      </c>
      <c r="H194" s="5">
        <v>0.88888888888888884</v>
      </c>
      <c r="I194">
        <v>772.77</v>
      </c>
      <c r="J194">
        <v>2</v>
      </c>
      <c r="K194" s="5">
        <v>8.0600000000000005E-2</v>
      </c>
    </row>
    <row r="195" spans="1:11" x14ac:dyDescent="0.35">
      <c r="A195" t="s">
        <v>12</v>
      </c>
      <c r="B195" t="s">
        <v>30</v>
      </c>
      <c r="C195" s="4">
        <v>45505</v>
      </c>
      <c r="D195">
        <v>30</v>
      </c>
      <c r="E195">
        <v>6</v>
      </c>
      <c r="F195">
        <v>549.26</v>
      </c>
      <c r="G195">
        <v>2</v>
      </c>
      <c r="H195" s="5">
        <v>0.33333333333333331</v>
      </c>
      <c r="I195">
        <v>3868.36</v>
      </c>
      <c r="J195">
        <v>1</v>
      </c>
      <c r="K195" s="5">
        <v>4.2800000000000005E-2</v>
      </c>
    </row>
    <row r="196" spans="1:11" x14ac:dyDescent="0.35">
      <c r="A196" t="s">
        <v>13</v>
      </c>
      <c r="B196" t="s">
        <v>30</v>
      </c>
      <c r="C196" s="4">
        <v>45505</v>
      </c>
      <c r="D196">
        <v>83</v>
      </c>
      <c r="E196">
        <v>15</v>
      </c>
      <c r="F196">
        <v>601.05999999999995</v>
      </c>
      <c r="G196">
        <v>3</v>
      </c>
      <c r="H196" s="5">
        <v>0.2</v>
      </c>
      <c r="I196">
        <v>350.62</v>
      </c>
      <c r="J196">
        <v>3</v>
      </c>
      <c r="K196" s="5">
        <v>3.6600000000000001E-2</v>
      </c>
    </row>
    <row r="197" spans="1:11" x14ac:dyDescent="0.35">
      <c r="A197" t="s">
        <v>14</v>
      </c>
      <c r="B197" t="s">
        <v>30</v>
      </c>
      <c r="C197" s="4">
        <v>45505</v>
      </c>
      <c r="D197">
        <v>35</v>
      </c>
      <c r="E197">
        <v>6</v>
      </c>
      <c r="F197">
        <v>192.19</v>
      </c>
      <c r="G197">
        <v>1</v>
      </c>
      <c r="H197" s="5">
        <v>0.16666666666666666</v>
      </c>
      <c r="I197">
        <v>3963.32</v>
      </c>
      <c r="J197">
        <v>2</v>
      </c>
      <c r="K197" s="5">
        <v>3.9800000000000002E-2</v>
      </c>
    </row>
    <row r="198" spans="1:11" x14ac:dyDescent="0.35">
      <c r="A198" t="s">
        <v>15</v>
      </c>
      <c r="B198" t="s">
        <v>30</v>
      </c>
      <c r="C198" s="4">
        <v>45505</v>
      </c>
      <c r="D198">
        <v>73</v>
      </c>
      <c r="E198">
        <v>8</v>
      </c>
      <c r="F198">
        <v>191.76</v>
      </c>
      <c r="G198">
        <v>3</v>
      </c>
      <c r="H198" s="5">
        <v>0.375</v>
      </c>
      <c r="I198">
        <v>675.97</v>
      </c>
      <c r="J198">
        <v>3</v>
      </c>
      <c r="K198" s="5">
        <v>3.0200000000000001E-2</v>
      </c>
    </row>
    <row r="199" spans="1:11" x14ac:dyDescent="0.35">
      <c r="A199" t="s">
        <v>16</v>
      </c>
      <c r="B199" t="s">
        <v>30</v>
      </c>
      <c r="C199" s="4">
        <v>45505</v>
      </c>
      <c r="D199">
        <v>104</v>
      </c>
      <c r="E199">
        <v>4</v>
      </c>
      <c r="F199">
        <v>169.75</v>
      </c>
      <c r="G199">
        <v>3</v>
      </c>
      <c r="H199" s="5">
        <v>0.75</v>
      </c>
      <c r="I199">
        <v>1255.83</v>
      </c>
      <c r="J199">
        <v>2</v>
      </c>
      <c r="K199" s="5">
        <v>7.7600000000000002E-2</v>
      </c>
    </row>
    <row r="200" spans="1:11" x14ac:dyDescent="0.35">
      <c r="A200" t="s">
        <v>17</v>
      </c>
      <c r="B200" t="s">
        <v>30</v>
      </c>
      <c r="C200" s="4">
        <v>45505</v>
      </c>
      <c r="D200">
        <v>71</v>
      </c>
      <c r="E200">
        <v>6</v>
      </c>
      <c r="F200">
        <v>87.5</v>
      </c>
      <c r="G200">
        <v>3</v>
      </c>
      <c r="H200" s="5">
        <v>0.5</v>
      </c>
      <c r="I200">
        <v>3666.64</v>
      </c>
      <c r="J200">
        <v>1</v>
      </c>
      <c r="K200" s="5">
        <v>9.1300000000000006E-2</v>
      </c>
    </row>
    <row r="201" spans="1:11" x14ac:dyDescent="0.35">
      <c r="A201" t="s">
        <v>18</v>
      </c>
      <c r="B201" t="s">
        <v>30</v>
      </c>
      <c r="C201" s="4">
        <v>45505</v>
      </c>
      <c r="D201">
        <v>22</v>
      </c>
      <c r="E201">
        <v>14</v>
      </c>
      <c r="F201">
        <v>477.3</v>
      </c>
      <c r="G201">
        <v>6</v>
      </c>
      <c r="H201" s="5">
        <v>0.42857142857142855</v>
      </c>
      <c r="I201">
        <v>3790.05</v>
      </c>
      <c r="J201">
        <v>3</v>
      </c>
      <c r="K201" s="5">
        <v>3.32E-2</v>
      </c>
    </row>
    <row r="202" spans="1:11" x14ac:dyDescent="0.35">
      <c r="A202" t="s">
        <v>19</v>
      </c>
      <c r="B202" t="s">
        <v>30</v>
      </c>
      <c r="C202" s="4">
        <v>45505</v>
      </c>
      <c r="D202">
        <v>85</v>
      </c>
      <c r="E202">
        <v>17</v>
      </c>
      <c r="F202">
        <v>187.72</v>
      </c>
      <c r="G202">
        <v>5</v>
      </c>
      <c r="H202" s="5">
        <v>0.29411764705882354</v>
      </c>
      <c r="I202">
        <v>443.22</v>
      </c>
      <c r="J202">
        <v>2</v>
      </c>
      <c r="K202" s="5">
        <v>0.1016</v>
      </c>
    </row>
    <row r="203" spans="1:11" x14ac:dyDescent="0.35">
      <c r="A203" t="s">
        <v>20</v>
      </c>
      <c r="B203" t="s">
        <v>30</v>
      </c>
      <c r="C203" s="4">
        <v>45505</v>
      </c>
      <c r="D203">
        <v>80</v>
      </c>
      <c r="E203">
        <v>13</v>
      </c>
      <c r="F203">
        <v>504.59</v>
      </c>
      <c r="G203">
        <v>0</v>
      </c>
      <c r="H203" s="5">
        <v>0</v>
      </c>
      <c r="I203">
        <v>1265.47</v>
      </c>
      <c r="J203">
        <v>1</v>
      </c>
      <c r="K203" s="5">
        <v>1E-3</v>
      </c>
    </row>
    <row r="204" spans="1:11" x14ac:dyDescent="0.35">
      <c r="A204" t="s">
        <v>21</v>
      </c>
      <c r="B204" t="s">
        <v>30</v>
      </c>
      <c r="C204" s="4">
        <v>45505</v>
      </c>
      <c r="D204">
        <v>18</v>
      </c>
      <c r="E204">
        <v>12</v>
      </c>
      <c r="F204">
        <v>262.26</v>
      </c>
      <c r="G204">
        <v>1</v>
      </c>
      <c r="H204" s="5">
        <v>8.3333333333333329E-2</v>
      </c>
      <c r="I204">
        <v>1573.7</v>
      </c>
      <c r="J204">
        <v>3</v>
      </c>
      <c r="K204" s="5">
        <v>5.1299999999999998E-2</v>
      </c>
    </row>
    <row r="205" spans="1:11" x14ac:dyDescent="0.35">
      <c r="A205" t="s">
        <v>22</v>
      </c>
      <c r="B205" t="s">
        <v>30</v>
      </c>
      <c r="C205" s="4">
        <v>45505</v>
      </c>
      <c r="D205">
        <v>106</v>
      </c>
      <c r="E205">
        <v>6</v>
      </c>
      <c r="F205">
        <v>572.16</v>
      </c>
      <c r="G205">
        <v>2</v>
      </c>
      <c r="H205" s="5">
        <v>0.33333333333333331</v>
      </c>
      <c r="I205">
        <v>3398.37</v>
      </c>
      <c r="J205">
        <v>2</v>
      </c>
      <c r="K205" s="5">
        <v>2.87E-2</v>
      </c>
    </row>
    <row r="206" spans="1:11" x14ac:dyDescent="0.35">
      <c r="A206" t="s">
        <v>23</v>
      </c>
      <c r="B206" t="s">
        <v>30</v>
      </c>
      <c r="C206" s="4">
        <v>45505</v>
      </c>
      <c r="D206">
        <v>71</v>
      </c>
      <c r="E206">
        <v>9</v>
      </c>
      <c r="F206">
        <v>172.96</v>
      </c>
      <c r="G206">
        <v>6</v>
      </c>
      <c r="H206" s="5">
        <v>0.66666666666666663</v>
      </c>
      <c r="I206">
        <v>464.49</v>
      </c>
      <c r="J206">
        <v>1</v>
      </c>
      <c r="K206" s="5">
        <v>8.2699999999999996E-2</v>
      </c>
    </row>
    <row r="207" spans="1:11" x14ac:dyDescent="0.35">
      <c r="A207" t="s">
        <v>24</v>
      </c>
      <c r="B207" t="s">
        <v>30</v>
      </c>
      <c r="C207" s="4">
        <v>45505</v>
      </c>
      <c r="D207">
        <v>115</v>
      </c>
      <c r="E207">
        <v>17</v>
      </c>
      <c r="F207">
        <v>422.48</v>
      </c>
      <c r="G207">
        <v>0</v>
      </c>
      <c r="H207" s="5">
        <v>0</v>
      </c>
      <c r="I207">
        <v>2681.51</v>
      </c>
      <c r="J207">
        <v>3</v>
      </c>
      <c r="K207" s="5">
        <v>2.5000000000000001E-2</v>
      </c>
    </row>
    <row r="208" spans="1:11" x14ac:dyDescent="0.35">
      <c r="A208" t="s">
        <v>26</v>
      </c>
      <c r="B208" t="s">
        <v>30</v>
      </c>
      <c r="C208" s="4">
        <v>45505</v>
      </c>
      <c r="D208">
        <v>34</v>
      </c>
      <c r="E208">
        <v>10</v>
      </c>
      <c r="F208">
        <v>565.11</v>
      </c>
      <c r="G208">
        <v>5</v>
      </c>
      <c r="H208" s="5">
        <v>0.5</v>
      </c>
      <c r="I208">
        <v>222.62</v>
      </c>
      <c r="J208">
        <v>2</v>
      </c>
      <c r="K208" s="5">
        <v>7.1800000000000003E-2</v>
      </c>
    </row>
    <row r="209" spans="1:11" x14ac:dyDescent="0.35">
      <c r="A209" t="s">
        <v>27</v>
      </c>
      <c r="B209" t="s">
        <v>30</v>
      </c>
      <c r="C209" s="4">
        <v>45505</v>
      </c>
      <c r="D209">
        <v>40</v>
      </c>
      <c r="E209">
        <v>17</v>
      </c>
      <c r="F209">
        <v>355.83</v>
      </c>
      <c r="G209">
        <v>6</v>
      </c>
      <c r="H209" s="5">
        <v>0.35294117647058826</v>
      </c>
      <c r="I209">
        <v>4155.8599999999997</v>
      </c>
      <c r="J209">
        <v>1</v>
      </c>
      <c r="K209" s="5">
        <v>8.8000000000000009E-2</v>
      </c>
    </row>
    <row r="210" spans="1:11" x14ac:dyDescent="0.35">
      <c r="A210" t="s">
        <v>0</v>
      </c>
      <c r="B210" t="s">
        <v>30</v>
      </c>
      <c r="C210" s="4">
        <v>45536</v>
      </c>
      <c r="D210">
        <v>51</v>
      </c>
      <c r="E210">
        <v>15</v>
      </c>
      <c r="F210">
        <v>349.71</v>
      </c>
      <c r="G210">
        <v>8</v>
      </c>
      <c r="H210" s="5">
        <v>0.53333333333333333</v>
      </c>
      <c r="I210">
        <v>4017.54</v>
      </c>
      <c r="J210">
        <v>1</v>
      </c>
      <c r="K210" s="5">
        <v>2.92E-2</v>
      </c>
    </row>
    <row r="211" spans="1:11" x14ac:dyDescent="0.35">
      <c r="A211" t="s">
        <v>2</v>
      </c>
      <c r="B211" t="s">
        <v>30</v>
      </c>
      <c r="C211" s="4">
        <v>45536</v>
      </c>
      <c r="D211">
        <v>79</v>
      </c>
      <c r="E211">
        <v>9</v>
      </c>
      <c r="F211">
        <v>358.67</v>
      </c>
      <c r="G211">
        <v>5</v>
      </c>
      <c r="H211" s="5">
        <v>0.55555555555555558</v>
      </c>
      <c r="I211">
        <v>3658.64</v>
      </c>
      <c r="J211">
        <v>3</v>
      </c>
      <c r="K211" s="5">
        <v>3.7499999999999999E-2</v>
      </c>
    </row>
    <row r="212" spans="1:11" x14ac:dyDescent="0.35">
      <c r="A212" t="s">
        <v>3</v>
      </c>
      <c r="B212" t="s">
        <v>30</v>
      </c>
      <c r="C212" s="4">
        <v>45536</v>
      </c>
      <c r="D212">
        <v>57</v>
      </c>
      <c r="E212">
        <v>18</v>
      </c>
      <c r="F212">
        <v>403.41</v>
      </c>
      <c r="G212">
        <v>3</v>
      </c>
      <c r="H212" s="5">
        <v>0.16666666666666666</v>
      </c>
      <c r="I212">
        <v>3767.63</v>
      </c>
      <c r="J212">
        <v>2</v>
      </c>
      <c r="K212" s="5">
        <v>4.24E-2</v>
      </c>
    </row>
    <row r="213" spans="1:11" x14ac:dyDescent="0.35">
      <c r="A213" t="s">
        <v>4</v>
      </c>
      <c r="B213" t="s">
        <v>30</v>
      </c>
      <c r="C213" s="4">
        <v>45536</v>
      </c>
      <c r="D213">
        <v>24</v>
      </c>
      <c r="E213">
        <v>7</v>
      </c>
      <c r="F213">
        <v>79.62</v>
      </c>
      <c r="G213">
        <v>4</v>
      </c>
      <c r="H213" s="5">
        <v>0.5714285714285714</v>
      </c>
      <c r="I213">
        <v>1650.69</v>
      </c>
      <c r="J213">
        <v>1</v>
      </c>
      <c r="K213" s="5">
        <v>3.0600000000000002E-2</v>
      </c>
    </row>
    <row r="214" spans="1:11" x14ac:dyDescent="0.35">
      <c r="A214" t="s">
        <v>5</v>
      </c>
      <c r="B214" t="s">
        <v>30</v>
      </c>
      <c r="C214" s="4">
        <v>45536</v>
      </c>
      <c r="D214">
        <v>77</v>
      </c>
      <c r="E214">
        <v>11</v>
      </c>
      <c r="F214">
        <v>487.47</v>
      </c>
      <c r="G214">
        <v>4</v>
      </c>
      <c r="H214" s="5">
        <v>0.36363636363636365</v>
      </c>
      <c r="I214">
        <v>990.89</v>
      </c>
      <c r="J214">
        <v>3</v>
      </c>
      <c r="K214" s="5">
        <v>4.3299999999999998E-2</v>
      </c>
    </row>
    <row r="215" spans="1:11" x14ac:dyDescent="0.35">
      <c r="A215" t="s">
        <v>6</v>
      </c>
      <c r="B215" t="s">
        <v>30</v>
      </c>
      <c r="C215" s="4">
        <v>45536</v>
      </c>
      <c r="D215">
        <v>69</v>
      </c>
      <c r="E215">
        <v>7</v>
      </c>
      <c r="F215">
        <v>549.77</v>
      </c>
      <c r="G215">
        <v>2</v>
      </c>
      <c r="H215" s="5">
        <v>0.2857142857142857</v>
      </c>
      <c r="I215">
        <v>3916.58</v>
      </c>
      <c r="J215">
        <v>2</v>
      </c>
      <c r="K215" s="5">
        <v>1.2E-2</v>
      </c>
    </row>
    <row r="216" spans="1:11" x14ac:dyDescent="0.35">
      <c r="A216" t="s">
        <v>7</v>
      </c>
      <c r="B216" t="s">
        <v>30</v>
      </c>
      <c r="C216" s="4">
        <v>45536</v>
      </c>
      <c r="D216">
        <v>74</v>
      </c>
      <c r="E216">
        <v>18</v>
      </c>
      <c r="F216">
        <v>306.89999999999998</v>
      </c>
      <c r="G216">
        <v>3</v>
      </c>
      <c r="H216" s="5">
        <v>0.16666666666666666</v>
      </c>
      <c r="I216">
        <v>2254.16</v>
      </c>
      <c r="J216">
        <v>1</v>
      </c>
      <c r="K216" s="5">
        <v>9.64E-2</v>
      </c>
    </row>
    <row r="217" spans="1:11" x14ac:dyDescent="0.35">
      <c r="A217" t="s">
        <v>8</v>
      </c>
      <c r="B217" t="s">
        <v>30</v>
      </c>
      <c r="C217" s="4">
        <v>45536</v>
      </c>
      <c r="D217">
        <v>57</v>
      </c>
      <c r="E217">
        <v>7</v>
      </c>
      <c r="F217">
        <v>262.27999999999997</v>
      </c>
      <c r="G217">
        <v>7</v>
      </c>
      <c r="H217" s="5">
        <v>1</v>
      </c>
      <c r="I217">
        <v>3929.11</v>
      </c>
      <c r="J217">
        <v>3</v>
      </c>
      <c r="K217" s="5">
        <v>4.4299999999999999E-2</v>
      </c>
    </row>
    <row r="218" spans="1:11" x14ac:dyDescent="0.35">
      <c r="A218" t="s">
        <v>9</v>
      </c>
      <c r="B218" t="s">
        <v>30</v>
      </c>
      <c r="C218" s="4">
        <v>45536</v>
      </c>
      <c r="D218">
        <v>26</v>
      </c>
      <c r="E218">
        <v>21</v>
      </c>
      <c r="F218">
        <v>359.51</v>
      </c>
      <c r="G218">
        <v>9</v>
      </c>
      <c r="H218" s="5">
        <v>0.42857142857142855</v>
      </c>
      <c r="I218">
        <v>1187.3699999999999</v>
      </c>
      <c r="J218">
        <v>2</v>
      </c>
      <c r="K218" s="5">
        <v>5.33E-2</v>
      </c>
    </row>
    <row r="219" spans="1:11" x14ac:dyDescent="0.35">
      <c r="A219" t="s">
        <v>10</v>
      </c>
      <c r="B219" t="s">
        <v>30</v>
      </c>
      <c r="C219" s="4">
        <v>45536</v>
      </c>
      <c r="D219">
        <v>76</v>
      </c>
      <c r="E219">
        <v>18</v>
      </c>
      <c r="F219">
        <v>339.1</v>
      </c>
      <c r="G219">
        <v>8</v>
      </c>
      <c r="H219" s="5">
        <v>0.44444444444444442</v>
      </c>
      <c r="I219">
        <v>924.79</v>
      </c>
      <c r="J219">
        <v>1</v>
      </c>
      <c r="K219" s="5">
        <v>3.6000000000000004E-2</v>
      </c>
    </row>
    <row r="220" spans="1:11" x14ac:dyDescent="0.35">
      <c r="A220" t="s">
        <v>11</v>
      </c>
      <c r="B220" t="s">
        <v>30</v>
      </c>
      <c r="C220" s="4">
        <v>45536</v>
      </c>
      <c r="D220">
        <v>22</v>
      </c>
      <c r="E220">
        <v>7</v>
      </c>
      <c r="F220">
        <v>182.47</v>
      </c>
      <c r="G220">
        <v>7</v>
      </c>
      <c r="H220" s="5">
        <v>1</v>
      </c>
      <c r="I220">
        <v>779.86</v>
      </c>
      <c r="J220">
        <v>3</v>
      </c>
      <c r="K220" s="5">
        <v>7.2700000000000001E-2</v>
      </c>
    </row>
    <row r="221" spans="1:11" x14ac:dyDescent="0.35">
      <c r="A221" t="s">
        <v>12</v>
      </c>
      <c r="B221" t="s">
        <v>30</v>
      </c>
      <c r="C221" s="4">
        <v>45536</v>
      </c>
      <c r="D221">
        <v>38</v>
      </c>
      <c r="E221">
        <v>6</v>
      </c>
      <c r="F221">
        <v>553.89</v>
      </c>
      <c r="G221">
        <v>6</v>
      </c>
      <c r="H221" s="5">
        <v>1</v>
      </c>
      <c r="I221">
        <v>4013.79</v>
      </c>
      <c r="J221">
        <v>2</v>
      </c>
      <c r="K221" s="5">
        <v>4.3200000000000002E-2</v>
      </c>
    </row>
    <row r="222" spans="1:11" x14ac:dyDescent="0.35">
      <c r="A222" t="s">
        <v>13</v>
      </c>
      <c r="B222" t="s">
        <v>30</v>
      </c>
      <c r="C222" s="4">
        <v>45536</v>
      </c>
      <c r="D222">
        <v>87</v>
      </c>
      <c r="E222">
        <v>21</v>
      </c>
      <c r="F222">
        <v>633.13</v>
      </c>
      <c r="G222">
        <v>2</v>
      </c>
      <c r="H222" s="5">
        <v>9.5238095238095233E-2</v>
      </c>
      <c r="I222">
        <v>336.22</v>
      </c>
      <c r="J222">
        <v>1</v>
      </c>
      <c r="K222" s="5">
        <v>3.4500000000000003E-2</v>
      </c>
    </row>
    <row r="223" spans="1:11" x14ac:dyDescent="0.35">
      <c r="A223" t="s">
        <v>14</v>
      </c>
      <c r="B223" t="s">
        <v>30</v>
      </c>
      <c r="C223" s="4">
        <v>45536</v>
      </c>
      <c r="D223">
        <v>37</v>
      </c>
      <c r="E223">
        <v>8</v>
      </c>
      <c r="F223">
        <v>215.09</v>
      </c>
      <c r="G223">
        <v>2</v>
      </c>
      <c r="H223" s="5">
        <v>0.25</v>
      </c>
      <c r="I223">
        <v>3424.83</v>
      </c>
      <c r="J223">
        <v>3</v>
      </c>
      <c r="K223" s="5">
        <v>4.07E-2</v>
      </c>
    </row>
    <row r="224" spans="1:11" x14ac:dyDescent="0.35">
      <c r="A224" t="s">
        <v>15</v>
      </c>
      <c r="B224" t="s">
        <v>30</v>
      </c>
      <c r="C224" s="4">
        <v>45536</v>
      </c>
      <c r="D224">
        <v>71</v>
      </c>
      <c r="E224">
        <v>8</v>
      </c>
      <c r="F224">
        <v>199.19</v>
      </c>
      <c r="G224">
        <v>2</v>
      </c>
      <c r="H224" s="5">
        <v>0.25</v>
      </c>
      <c r="I224">
        <v>635.24</v>
      </c>
      <c r="J224">
        <v>2</v>
      </c>
      <c r="K224" s="5">
        <v>2.9500000000000002E-2</v>
      </c>
    </row>
    <row r="225" spans="1:11" x14ac:dyDescent="0.35">
      <c r="A225" t="s">
        <v>16</v>
      </c>
      <c r="B225" t="s">
        <v>30</v>
      </c>
      <c r="C225" s="4">
        <v>45536</v>
      </c>
      <c r="D225">
        <v>81</v>
      </c>
      <c r="E225">
        <v>5</v>
      </c>
      <c r="F225">
        <v>153.5</v>
      </c>
      <c r="G225">
        <v>2</v>
      </c>
      <c r="H225" s="5">
        <v>0.4</v>
      </c>
      <c r="I225">
        <v>1307.47</v>
      </c>
      <c r="J225">
        <v>1</v>
      </c>
      <c r="K225" s="5">
        <v>7.3300000000000004E-2</v>
      </c>
    </row>
    <row r="226" spans="1:11" x14ac:dyDescent="0.35">
      <c r="A226" t="s">
        <v>17</v>
      </c>
      <c r="B226" t="s">
        <v>30</v>
      </c>
      <c r="C226" s="4">
        <v>45536</v>
      </c>
      <c r="D226">
        <v>93</v>
      </c>
      <c r="E226">
        <v>5</v>
      </c>
      <c r="F226">
        <v>77.12</v>
      </c>
      <c r="G226">
        <v>2</v>
      </c>
      <c r="H226" s="5">
        <v>0.4</v>
      </c>
      <c r="I226">
        <v>3483.91</v>
      </c>
      <c r="J226">
        <v>3</v>
      </c>
      <c r="K226" s="5">
        <v>9.9000000000000005E-2</v>
      </c>
    </row>
    <row r="227" spans="1:11" x14ac:dyDescent="0.35">
      <c r="A227" t="s">
        <v>18</v>
      </c>
      <c r="B227" t="s">
        <v>30</v>
      </c>
      <c r="C227" s="4">
        <v>45536</v>
      </c>
      <c r="D227">
        <v>21</v>
      </c>
      <c r="E227">
        <v>17</v>
      </c>
      <c r="F227">
        <v>533.41999999999996</v>
      </c>
      <c r="G227">
        <v>7</v>
      </c>
      <c r="H227" s="5">
        <v>0.41176470588235292</v>
      </c>
      <c r="I227">
        <v>3895.32</v>
      </c>
      <c r="J227">
        <v>2</v>
      </c>
      <c r="K227" s="5">
        <v>3.4000000000000002E-2</v>
      </c>
    </row>
    <row r="228" spans="1:11" x14ac:dyDescent="0.35">
      <c r="A228" t="s">
        <v>19</v>
      </c>
      <c r="B228" t="s">
        <v>30</v>
      </c>
      <c r="C228" s="4">
        <v>45536</v>
      </c>
      <c r="D228">
        <v>86</v>
      </c>
      <c r="E228">
        <v>17</v>
      </c>
      <c r="F228">
        <v>160.88999999999999</v>
      </c>
      <c r="G228">
        <v>4</v>
      </c>
      <c r="H228" s="5">
        <v>0.23529411764705882</v>
      </c>
      <c r="I228">
        <v>418.33</v>
      </c>
      <c r="J228">
        <v>1</v>
      </c>
      <c r="K228" s="5">
        <v>8.8100000000000012E-2</v>
      </c>
    </row>
    <row r="229" spans="1:11" x14ac:dyDescent="0.35">
      <c r="A229" t="s">
        <v>20</v>
      </c>
      <c r="B229" t="s">
        <v>30</v>
      </c>
      <c r="C229" s="4">
        <v>45536</v>
      </c>
      <c r="D229">
        <v>72</v>
      </c>
      <c r="E229">
        <v>11</v>
      </c>
      <c r="F229">
        <v>459.86</v>
      </c>
      <c r="G229">
        <v>0</v>
      </c>
      <c r="H229" s="5">
        <v>0</v>
      </c>
      <c r="I229">
        <v>1269.5999999999999</v>
      </c>
      <c r="J229">
        <v>3</v>
      </c>
      <c r="K229" s="5">
        <v>1E-3</v>
      </c>
    </row>
    <row r="230" spans="1:11" x14ac:dyDescent="0.35">
      <c r="A230" t="s">
        <v>21</v>
      </c>
      <c r="B230" t="s">
        <v>30</v>
      </c>
      <c r="C230" s="4">
        <v>45536</v>
      </c>
      <c r="D230">
        <v>18</v>
      </c>
      <c r="E230">
        <v>13</v>
      </c>
      <c r="F230">
        <v>290.14</v>
      </c>
      <c r="G230">
        <v>2</v>
      </c>
      <c r="H230" s="5">
        <v>0.15384615384615385</v>
      </c>
      <c r="I230">
        <v>1444.65</v>
      </c>
      <c r="J230">
        <v>2</v>
      </c>
      <c r="K230" s="5">
        <v>5.4699999999999999E-2</v>
      </c>
    </row>
    <row r="231" spans="1:11" x14ac:dyDescent="0.35">
      <c r="A231" t="s">
        <v>22</v>
      </c>
      <c r="B231" t="s">
        <v>30</v>
      </c>
      <c r="C231" s="4">
        <v>45536</v>
      </c>
      <c r="D231">
        <v>105</v>
      </c>
      <c r="E231">
        <v>7</v>
      </c>
      <c r="F231">
        <v>587.83000000000004</v>
      </c>
      <c r="G231">
        <v>1</v>
      </c>
      <c r="H231" s="5">
        <v>0.14285714285714285</v>
      </c>
      <c r="I231">
        <v>3601.93</v>
      </c>
      <c r="J231">
        <v>1</v>
      </c>
      <c r="K231" s="5">
        <v>3.2199999999999999E-2</v>
      </c>
    </row>
    <row r="232" spans="1:11" x14ac:dyDescent="0.35">
      <c r="A232" t="s">
        <v>23</v>
      </c>
      <c r="B232" t="s">
        <v>30</v>
      </c>
      <c r="C232" s="4">
        <v>45536</v>
      </c>
      <c r="D232">
        <v>75</v>
      </c>
      <c r="E232">
        <v>8</v>
      </c>
      <c r="F232">
        <v>177.88</v>
      </c>
      <c r="G232">
        <v>7</v>
      </c>
      <c r="H232" s="5">
        <v>0.875</v>
      </c>
      <c r="I232">
        <v>507.1</v>
      </c>
      <c r="J232">
        <v>3</v>
      </c>
      <c r="K232" s="5">
        <v>9.5199999999999993E-2</v>
      </c>
    </row>
    <row r="233" spans="1:11" x14ac:dyDescent="0.35">
      <c r="A233" t="s">
        <v>24</v>
      </c>
      <c r="B233" t="s">
        <v>30</v>
      </c>
      <c r="C233" s="4">
        <v>45536</v>
      </c>
      <c r="D233">
        <v>98</v>
      </c>
      <c r="E233">
        <v>12</v>
      </c>
      <c r="F233">
        <v>406.95</v>
      </c>
      <c r="G233">
        <v>0</v>
      </c>
      <c r="H233" s="5">
        <v>0</v>
      </c>
      <c r="I233">
        <v>2978.09</v>
      </c>
      <c r="J233">
        <v>2</v>
      </c>
      <c r="K233" s="5">
        <v>2.3700000000000002E-2</v>
      </c>
    </row>
    <row r="234" spans="1:11" x14ac:dyDescent="0.35">
      <c r="A234" t="s">
        <v>26</v>
      </c>
      <c r="B234" t="s">
        <v>30</v>
      </c>
      <c r="C234" s="4">
        <v>45536</v>
      </c>
      <c r="D234">
        <v>33</v>
      </c>
      <c r="E234">
        <v>13</v>
      </c>
      <c r="F234">
        <v>517.1</v>
      </c>
      <c r="G234">
        <v>4</v>
      </c>
      <c r="H234" s="5">
        <v>0.30769230769230771</v>
      </c>
      <c r="I234">
        <v>250.08</v>
      </c>
      <c r="J234">
        <v>1</v>
      </c>
      <c r="K234" s="5">
        <v>6.5299999999999997E-2</v>
      </c>
    </row>
    <row r="235" spans="1:11" x14ac:dyDescent="0.35">
      <c r="A235" t="s">
        <v>27</v>
      </c>
      <c r="B235" t="s">
        <v>30</v>
      </c>
      <c r="C235" s="4">
        <v>45536</v>
      </c>
      <c r="D235">
        <v>35</v>
      </c>
      <c r="E235">
        <v>18</v>
      </c>
      <c r="F235">
        <v>348.92</v>
      </c>
      <c r="G235">
        <v>7</v>
      </c>
      <c r="H235" s="5">
        <v>0.3888888888888889</v>
      </c>
      <c r="I235">
        <v>4381.3900000000003</v>
      </c>
      <c r="J235">
        <v>1</v>
      </c>
      <c r="K235" s="5">
        <v>8.8599999999999998E-2</v>
      </c>
    </row>
    <row r="236" spans="1:11" x14ac:dyDescent="0.35">
      <c r="A236" t="s">
        <v>0</v>
      </c>
      <c r="B236" t="s">
        <v>30</v>
      </c>
      <c r="C236" s="4">
        <v>45566</v>
      </c>
      <c r="D236">
        <v>74</v>
      </c>
      <c r="E236">
        <v>16</v>
      </c>
      <c r="F236">
        <v>308.51</v>
      </c>
      <c r="G236">
        <v>7</v>
      </c>
      <c r="H236" s="5">
        <v>0.4375</v>
      </c>
      <c r="I236">
        <v>4267.5</v>
      </c>
      <c r="J236">
        <v>3</v>
      </c>
      <c r="K236" s="5">
        <v>2.9399999999999999E-2</v>
      </c>
    </row>
    <row r="237" spans="1:11" x14ac:dyDescent="0.35">
      <c r="A237" t="s">
        <v>2</v>
      </c>
      <c r="B237" t="s">
        <v>30</v>
      </c>
      <c r="C237" s="4">
        <v>45566</v>
      </c>
      <c r="D237">
        <v>72</v>
      </c>
      <c r="E237">
        <v>10</v>
      </c>
      <c r="F237">
        <v>362.58</v>
      </c>
      <c r="G237">
        <v>5</v>
      </c>
      <c r="H237" s="5">
        <v>0.5</v>
      </c>
      <c r="I237">
        <v>3679.65</v>
      </c>
      <c r="J237">
        <v>2</v>
      </c>
      <c r="K237" s="5">
        <v>3.8599999999999995E-2</v>
      </c>
    </row>
    <row r="238" spans="1:11" x14ac:dyDescent="0.35">
      <c r="A238" t="s">
        <v>3</v>
      </c>
      <c r="B238" t="s">
        <v>30</v>
      </c>
      <c r="C238" s="4">
        <v>45566</v>
      </c>
      <c r="D238">
        <v>58</v>
      </c>
      <c r="E238">
        <v>13</v>
      </c>
      <c r="F238">
        <v>368.06</v>
      </c>
      <c r="G238">
        <v>2</v>
      </c>
      <c r="H238" s="5">
        <v>0.15384615384615385</v>
      </c>
      <c r="I238">
        <v>3626.22</v>
      </c>
      <c r="J238">
        <v>1</v>
      </c>
      <c r="K238" s="5">
        <v>4.1399999999999999E-2</v>
      </c>
    </row>
    <row r="239" spans="1:11" x14ac:dyDescent="0.35">
      <c r="A239" t="s">
        <v>4</v>
      </c>
      <c r="B239" t="s">
        <v>30</v>
      </c>
      <c r="C239" s="4">
        <v>45566</v>
      </c>
      <c r="D239">
        <v>22</v>
      </c>
      <c r="E239">
        <v>7</v>
      </c>
      <c r="F239">
        <v>74.680000000000007</v>
      </c>
      <c r="G239">
        <v>4</v>
      </c>
      <c r="H239" s="5">
        <v>0.5714285714285714</v>
      </c>
      <c r="I239">
        <v>1543.72</v>
      </c>
      <c r="J239">
        <v>3</v>
      </c>
      <c r="K239" s="5">
        <v>2.75E-2</v>
      </c>
    </row>
    <row r="240" spans="1:11" x14ac:dyDescent="0.35">
      <c r="A240" t="s">
        <v>5</v>
      </c>
      <c r="B240" t="s">
        <v>30</v>
      </c>
      <c r="C240" s="4">
        <v>45566</v>
      </c>
      <c r="D240">
        <v>74</v>
      </c>
      <c r="E240">
        <v>15</v>
      </c>
      <c r="F240">
        <v>460.2</v>
      </c>
      <c r="G240">
        <v>4</v>
      </c>
      <c r="H240" s="5">
        <v>0.26666666666666666</v>
      </c>
      <c r="I240">
        <v>980.1</v>
      </c>
      <c r="J240">
        <v>2</v>
      </c>
      <c r="K240" s="5">
        <v>3.7900000000000003E-2</v>
      </c>
    </row>
    <row r="241" spans="1:11" x14ac:dyDescent="0.35">
      <c r="A241" t="s">
        <v>6</v>
      </c>
      <c r="B241" t="s">
        <v>30</v>
      </c>
      <c r="C241" s="4">
        <v>45566</v>
      </c>
      <c r="D241">
        <v>62</v>
      </c>
      <c r="E241">
        <v>8</v>
      </c>
      <c r="F241">
        <v>540.79999999999995</v>
      </c>
      <c r="G241">
        <v>3</v>
      </c>
      <c r="H241" s="5">
        <v>0.375</v>
      </c>
      <c r="I241">
        <v>3928.71</v>
      </c>
      <c r="J241">
        <v>1</v>
      </c>
      <c r="K241" s="5">
        <v>1.09E-2</v>
      </c>
    </row>
    <row r="242" spans="1:11" x14ac:dyDescent="0.35">
      <c r="A242" t="s">
        <v>7</v>
      </c>
      <c r="B242" t="s">
        <v>30</v>
      </c>
      <c r="C242" s="4">
        <v>45566</v>
      </c>
      <c r="D242">
        <v>70</v>
      </c>
      <c r="E242">
        <v>21</v>
      </c>
      <c r="F242">
        <v>319.62</v>
      </c>
      <c r="G242">
        <v>3</v>
      </c>
      <c r="H242" s="5">
        <v>0.14285714285714285</v>
      </c>
      <c r="I242">
        <v>2486.2199999999998</v>
      </c>
      <c r="J242">
        <v>3</v>
      </c>
      <c r="K242" s="5">
        <v>0.1036</v>
      </c>
    </row>
    <row r="243" spans="1:11" x14ac:dyDescent="0.35">
      <c r="A243" t="s">
        <v>8</v>
      </c>
      <c r="B243" t="s">
        <v>30</v>
      </c>
      <c r="C243" s="4">
        <v>45566</v>
      </c>
      <c r="D243">
        <v>51</v>
      </c>
      <c r="E243">
        <v>7</v>
      </c>
      <c r="F243">
        <v>248.37</v>
      </c>
      <c r="G243">
        <v>7</v>
      </c>
      <c r="H243" s="5">
        <v>1</v>
      </c>
      <c r="I243">
        <v>3946.23</v>
      </c>
      <c r="J243">
        <v>2</v>
      </c>
      <c r="K243" s="5">
        <v>4.2699999999999995E-2</v>
      </c>
    </row>
    <row r="244" spans="1:11" x14ac:dyDescent="0.35">
      <c r="A244" t="s">
        <v>9</v>
      </c>
      <c r="B244" t="s">
        <v>30</v>
      </c>
      <c r="C244" s="4">
        <v>45566</v>
      </c>
      <c r="D244">
        <v>32</v>
      </c>
      <c r="E244">
        <v>16</v>
      </c>
      <c r="F244">
        <v>393.04</v>
      </c>
      <c r="G244">
        <v>7</v>
      </c>
      <c r="H244" s="5">
        <v>0.4375</v>
      </c>
      <c r="I244">
        <v>1286.18</v>
      </c>
      <c r="J244">
        <v>1</v>
      </c>
      <c r="K244" s="5">
        <v>5.6399999999999999E-2</v>
      </c>
    </row>
    <row r="245" spans="1:11" x14ac:dyDescent="0.35">
      <c r="A245" t="s">
        <v>10</v>
      </c>
      <c r="B245" t="s">
        <v>30</v>
      </c>
      <c r="C245" s="4">
        <v>45566</v>
      </c>
      <c r="D245">
        <v>71</v>
      </c>
      <c r="E245">
        <v>16</v>
      </c>
      <c r="F245">
        <v>323.56</v>
      </c>
      <c r="G245">
        <v>9</v>
      </c>
      <c r="H245" s="5">
        <v>0.5625</v>
      </c>
      <c r="I245">
        <v>957.05</v>
      </c>
      <c r="J245">
        <v>3</v>
      </c>
      <c r="K245" s="5">
        <v>3.1099999999999999E-2</v>
      </c>
    </row>
    <row r="246" spans="1:11" x14ac:dyDescent="0.35">
      <c r="A246" t="s">
        <v>11</v>
      </c>
      <c r="B246" t="s">
        <v>30</v>
      </c>
      <c r="C246" s="4">
        <v>45566</v>
      </c>
      <c r="D246">
        <v>17</v>
      </c>
      <c r="E246">
        <v>7</v>
      </c>
      <c r="F246">
        <v>205.3</v>
      </c>
      <c r="G246">
        <v>4</v>
      </c>
      <c r="H246" s="5">
        <v>0.5714285714285714</v>
      </c>
      <c r="I246">
        <v>762.2</v>
      </c>
      <c r="J246">
        <v>2</v>
      </c>
      <c r="K246" s="5">
        <v>7.2300000000000003E-2</v>
      </c>
    </row>
    <row r="247" spans="1:11" x14ac:dyDescent="0.35">
      <c r="A247" t="s">
        <v>12</v>
      </c>
      <c r="B247" t="s">
        <v>30</v>
      </c>
      <c r="C247" s="4">
        <v>45566</v>
      </c>
      <c r="D247">
        <v>35</v>
      </c>
      <c r="E247">
        <v>6</v>
      </c>
      <c r="F247">
        <v>544.78</v>
      </c>
      <c r="G247">
        <v>5</v>
      </c>
      <c r="H247" s="5">
        <v>0.83333333333333337</v>
      </c>
      <c r="I247">
        <v>3420.99</v>
      </c>
      <c r="J247">
        <v>3</v>
      </c>
      <c r="K247" s="5">
        <v>4.0500000000000001E-2</v>
      </c>
    </row>
    <row r="248" spans="1:11" x14ac:dyDescent="0.35">
      <c r="A248" t="s">
        <v>13</v>
      </c>
      <c r="B248" t="s">
        <v>30</v>
      </c>
      <c r="C248" s="4">
        <v>45566</v>
      </c>
      <c r="D248">
        <v>73</v>
      </c>
      <c r="E248">
        <v>17</v>
      </c>
      <c r="F248">
        <v>557.29999999999995</v>
      </c>
      <c r="G248">
        <v>3</v>
      </c>
      <c r="H248" s="5">
        <v>0.17647058823529413</v>
      </c>
      <c r="I248">
        <v>376.66</v>
      </c>
      <c r="J248">
        <v>2</v>
      </c>
      <c r="K248" s="5">
        <v>3.4700000000000002E-2</v>
      </c>
    </row>
    <row r="249" spans="1:11" x14ac:dyDescent="0.35">
      <c r="A249" t="s">
        <v>14</v>
      </c>
      <c r="B249" t="s">
        <v>30</v>
      </c>
      <c r="C249" s="4">
        <v>45566</v>
      </c>
      <c r="D249">
        <v>27</v>
      </c>
      <c r="E249">
        <v>6</v>
      </c>
      <c r="F249">
        <v>202.37</v>
      </c>
      <c r="G249">
        <v>1</v>
      </c>
      <c r="H249" s="5">
        <v>0.16666666666666666</v>
      </c>
      <c r="I249">
        <v>3781.81</v>
      </c>
      <c r="J249">
        <v>1</v>
      </c>
      <c r="K249" s="5">
        <v>4.3099999999999999E-2</v>
      </c>
    </row>
    <row r="250" spans="1:11" x14ac:dyDescent="0.35">
      <c r="A250" t="s">
        <v>15</v>
      </c>
      <c r="B250" t="s">
        <v>30</v>
      </c>
      <c r="C250" s="4">
        <v>45566</v>
      </c>
      <c r="D250">
        <v>49</v>
      </c>
      <c r="E250">
        <v>7</v>
      </c>
      <c r="F250">
        <v>204.14</v>
      </c>
      <c r="G250">
        <v>3</v>
      </c>
      <c r="H250" s="5">
        <v>0.42857142857142855</v>
      </c>
      <c r="I250">
        <v>636.65</v>
      </c>
      <c r="J250">
        <v>3</v>
      </c>
      <c r="K250" s="5">
        <v>2.9500000000000002E-2</v>
      </c>
    </row>
    <row r="251" spans="1:11" x14ac:dyDescent="0.35">
      <c r="A251" t="s">
        <v>16</v>
      </c>
      <c r="B251" t="s">
        <v>30</v>
      </c>
      <c r="C251" s="4">
        <v>45566</v>
      </c>
      <c r="D251">
        <v>106</v>
      </c>
      <c r="E251">
        <v>5</v>
      </c>
      <c r="F251">
        <v>163.38</v>
      </c>
      <c r="G251">
        <v>1</v>
      </c>
      <c r="H251" s="5">
        <v>0.2</v>
      </c>
      <c r="I251">
        <v>1148.1400000000001</v>
      </c>
      <c r="J251">
        <v>2</v>
      </c>
      <c r="K251" s="5">
        <v>7.8799999999999995E-2</v>
      </c>
    </row>
    <row r="252" spans="1:11" x14ac:dyDescent="0.35">
      <c r="A252" t="s">
        <v>17</v>
      </c>
      <c r="B252" t="s">
        <v>30</v>
      </c>
      <c r="C252" s="4">
        <v>45566</v>
      </c>
      <c r="D252">
        <v>102</v>
      </c>
      <c r="E252">
        <v>5</v>
      </c>
      <c r="F252">
        <v>86.37</v>
      </c>
      <c r="G252">
        <v>5</v>
      </c>
      <c r="H252" s="5">
        <v>1</v>
      </c>
      <c r="I252">
        <v>3851.19</v>
      </c>
      <c r="J252">
        <v>1</v>
      </c>
      <c r="K252" s="5">
        <v>8.3800000000000013E-2</v>
      </c>
    </row>
    <row r="253" spans="1:11" x14ac:dyDescent="0.35">
      <c r="A253" t="s">
        <v>18</v>
      </c>
      <c r="B253" t="s">
        <v>30</v>
      </c>
      <c r="C253" s="4">
        <v>45566</v>
      </c>
      <c r="D253">
        <v>21</v>
      </c>
      <c r="E253">
        <v>14</v>
      </c>
      <c r="F253">
        <v>537.36</v>
      </c>
      <c r="G253">
        <v>7</v>
      </c>
      <c r="H253" s="5">
        <v>0.5</v>
      </c>
      <c r="I253">
        <v>3767.78</v>
      </c>
      <c r="J253">
        <v>3</v>
      </c>
      <c r="K253" s="5">
        <v>3.44E-2</v>
      </c>
    </row>
    <row r="254" spans="1:11" x14ac:dyDescent="0.35">
      <c r="A254" t="s">
        <v>19</v>
      </c>
      <c r="B254" t="s">
        <v>30</v>
      </c>
      <c r="C254" s="4">
        <v>45566</v>
      </c>
      <c r="D254">
        <v>104</v>
      </c>
      <c r="E254">
        <v>20</v>
      </c>
      <c r="F254">
        <v>181.9</v>
      </c>
      <c r="G254">
        <v>4</v>
      </c>
      <c r="H254" s="5">
        <v>0.2</v>
      </c>
      <c r="I254">
        <v>400.92</v>
      </c>
      <c r="J254">
        <v>2</v>
      </c>
      <c r="K254" s="5">
        <v>0.10009999999999999</v>
      </c>
    </row>
    <row r="255" spans="1:11" x14ac:dyDescent="0.35">
      <c r="A255" t="s">
        <v>20</v>
      </c>
      <c r="B255" t="s">
        <v>30</v>
      </c>
      <c r="C255" s="4">
        <v>45566</v>
      </c>
      <c r="D255">
        <v>64</v>
      </c>
      <c r="E255">
        <v>15</v>
      </c>
      <c r="F255">
        <v>514.38</v>
      </c>
      <c r="G255">
        <v>0</v>
      </c>
      <c r="H255" s="5">
        <v>0</v>
      </c>
      <c r="I255">
        <v>1220.5899999999999</v>
      </c>
      <c r="J255">
        <v>1</v>
      </c>
      <c r="K255" s="5">
        <v>1E-3</v>
      </c>
    </row>
    <row r="256" spans="1:11" x14ac:dyDescent="0.35">
      <c r="A256" t="s">
        <v>21</v>
      </c>
      <c r="B256" t="s">
        <v>30</v>
      </c>
      <c r="C256" s="4">
        <v>45566</v>
      </c>
      <c r="D256">
        <v>21</v>
      </c>
      <c r="E256">
        <v>15</v>
      </c>
      <c r="F256">
        <v>309.75</v>
      </c>
      <c r="G256">
        <v>2</v>
      </c>
      <c r="H256" s="5">
        <v>0.13333333333333333</v>
      </c>
      <c r="I256">
        <v>1649.09</v>
      </c>
      <c r="J256">
        <v>3</v>
      </c>
      <c r="K256" s="5">
        <v>5.0999999999999997E-2</v>
      </c>
    </row>
    <row r="257" spans="1:11" x14ac:dyDescent="0.35">
      <c r="A257" t="s">
        <v>22</v>
      </c>
      <c r="B257" t="s">
        <v>30</v>
      </c>
      <c r="C257" s="4">
        <v>45566</v>
      </c>
      <c r="D257">
        <v>108</v>
      </c>
      <c r="E257">
        <v>6</v>
      </c>
      <c r="F257">
        <v>515.27</v>
      </c>
      <c r="G257">
        <v>2</v>
      </c>
      <c r="H257" s="5">
        <v>0.33333333333333331</v>
      </c>
      <c r="I257">
        <v>3183.87</v>
      </c>
      <c r="J257">
        <v>2</v>
      </c>
      <c r="K257" s="5">
        <v>3.04E-2</v>
      </c>
    </row>
    <row r="258" spans="1:11" x14ac:dyDescent="0.35">
      <c r="A258" t="s">
        <v>23</v>
      </c>
      <c r="B258" t="s">
        <v>30</v>
      </c>
      <c r="C258" s="4">
        <v>45566</v>
      </c>
      <c r="D258">
        <v>63</v>
      </c>
      <c r="E258">
        <v>10</v>
      </c>
      <c r="F258">
        <v>194.21</v>
      </c>
      <c r="G258">
        <v>7</v>
      </c>
      <c r="H258" s="5">
        <v>0.7</v>
      </c>
      <c r="I258">
        <v>508.84</v>
      </c>
      <c r="J258">
        <v>1</v>
      </c>
      <c r="K258" s="5">
        <v>9.3900000000000011E-2</v>
      </c>
    </row>
    <row r="259" spans="1:11" x14ac:dyDescent="0.35">
      <c r="A259" t="s">
        <v>24</v>
      </c>
      <c r="B259" t="s">
        <v>30</v>
      </c>
      <c r="C259" s="4">
        <v>45566</v>
      </c>
      <c r="D259">
        <v>85</v>
      </c>
      <c r="E259">
        <v>15</v>
      </c>
      <c r="F259">
        <v>400.65</v>
      </c>
      <c r="G259">
        <v>0</v>
      </c>
      <c r="H259" s="5">
        <v>0</v>
      </c>
      <c r="I259">
        <v>2890.62</v>
      </c>
      <c r="J259">
        <v>1</v>
      </c>
      <c r="K259" s="5">
        <v>2.4700000000000003E-2</v>
      </c>
    </row>
    <row r="260" spans="1:11" x14ac:dyDescent="0.35">
      <c r="A260" t="s">
        <v>26</v>
      </c>
      <c r="B260" t="s">
        <v>30</v>
      </c>
      <c r="C260" s="4">
        <v>45566</v>
      </c>
      <c r="D260">
        <v>36</v>
      </c>
      <c r="E260">
        <v>10</v>
      </c>
      <c r="F260">
        <v>535.44000000000005</v>
      </c>
      <c r="G260">
        <v>4</v>
      </c>
      <c r="H260" s="5">
        <v>0.4</v>
      </c>
      <c r="I260">
        <v>241.26</v>
      </c>
      <c r="J260">
        <v>3</v>
      </c>
      <c r="K260" s="5">
        <v>6.3E-2</v>
      </c>
    </row>
    <row r="261" spans="1:11" x14ac:dyDescent="0.35">
      <c r="A261" t="s">
        <v>27</v>
      </c>
      <c r="B261" t="s">
        <v>30</v>
      </c>
      <c r="C261" s="4">
        <v>45566</v>
      </c>
      <c r="D261">
        <v>34</v>
      </c>
      <c r="E261">
        <v>12</v>
      </c>
      <c r="F261">
        <v>356.4</v>
      </c>
      <c r="G261">
        <v>8</v>
      </c>
      <c r="H261" s="5">
        <v>0.66666666666666663</v>
      </c>
      <c r="I261">
        <v>4111.76</v>
      </c>
      <c r="J261">
        <v>2</v>
      </c>
      <c r="K261" s="5">
        <v>8.4700000000000011E-2</v>
      </c>
    </row>
    <row r="262" spans="1:11" x14ac:dyDescent="0.35">
      <c r="A262" t="s">
        <v>0</v>
      </c>
      <c r="B262" t="s">
        <v>30</v>
      </c>
      <c r="C262" s="4">
        <v>45597</v>
      </c>
      <c r="D262">
        <v>67</v>
      </c>
      <c r="E262">
        <v>12</v>
      </c>
      <c r="F262">
        <v>352.6</v>
      </c>
      <c r="G262">
        <v>6</v>
      </c>
      <c r="H262" s="5">
        <v>0.5</v>
      </c>
      <c r="I262">
        <v>4402.41</v>
      </c>
      <c r="J262">
        <v>1</v>
      </c>
      <c r="K262" s="5">
        <v>2.8999999999999998E-2</v>
      </c>
    </row>
    <row r="263" spans="1:11" x14ac:dyDescent="0.35">
      <c r="A263" t="s">
        <v>2</v>
      </c>
      <c r="B263" t="s">
        <v>30</v>
      </c>
      <c r="C263" s="4">
        <v>45597</v>
      </c>
      <c r="D263">
        <v>76</v>
      </c>
      <c r="E263">
        <v>14</v>
      </c>
      <c r="F263">
        <v>351.42</v>
      </c>
      <c r="G263">
        <v>4</v>
      </c>
      <c r="H263" s="5">
        <v>0.2857142857142857</v>
      </c>
      <c r="I263">
        <v>3917.99</v>
      </c>
      <c r="J263">
        <v>3</v>
      </c>
      <c r="K263" s="5">
        <v>4.2999999999999997E-2</v>
      </c>
    </row>
    <row r="264" spans="1:11" x14ac:dyDescent="0.35">
      <c r="A264" t="s">
        <v>3</v>
      </c>
      <c r="B264" t="s">
        <v>30</v>
      </c>
      <c r="C264" s="4">
        <v>45597</v>
      </c>
      <c r="D264">
        <v>53</v>
      </c>
      <c r="E264">
        <v>17</v>
      </c>
      <c r="F264">
        <v>404.22</v>
      </c>
      <c r="G264">
        <v>2</v>
      </c>
      <c r="H264" s="5">
        <v>0.11764705882352941</v>
      </c>
      <c r="I264">
        <v>3669.4</v>
      </c>
      <c r="J264">
        <v>2</v>
      </c>
      <c r="K264" s="5">
        <v>4.4500000000000005E-2</v>
      </c>
    </row>
    <row r="265" spans="1:11" x14ac:dyDescent="0.35">
      <c r="A265" t="s">
        <v>4</v>
      </c>
      <c r="B265" t="s">
        <v>30</v>
      </c>
      <c r="C265" s="4">
        <v>45597</v>
      </c>
      <c r="D265">
        <v>22</v>
      </c>
      <c r="E265">
        <v>6</v>
      </c>
      <c r="F265">
        <v>80.02</v>
      </c>
      <c r="G265">
        <v>3</v>
      </c>
      <c r="H265" s="5">
        <v>0.5</v>
      </c>
      <c r="I265">
        <v>1476.69</v>
      </c>
      <c r="J265">
        <v>1</v>
      </c>
      <c r="K265" s="5">
        <v>2.9300000000000003E-2</v>
      </c>
    </row>
    <row r="266" spans="1:11" x14ac:dyDescent="0.35">
      <c r="A266" t="s">
        <v>5</v>
      </c>
      <c r="B266" t="s">
        <v>30</v>
      </c>
      <c r="C266" s="4">
        <v>45597</v>
      </c>
      <c r="D266">
        <v>77</v>
      </c>
      <c r="E266">
        <v>16</v>
      </c>
      <c r="F266">
        <v>502.41</v>
      </c>
      <c r="G266">
        <v>5</v>
      </c>
      <c r="H266" s="5">
        <v>0.3125</v>
      </c>
      <c r="I266">
        <v>1093.75</v>
      </c>
      <c r="J266">
        <v>3</v>
      </c>
      <c r="K266" s="5">
        <v>3.8399999999999997E-2</v>
      </c>
    </row>
    <row r="267" spans="1:11" x14ac:dyDescent="0.35">
      <c r="A267" t="s">
        <v>6</v>
      </c>
      <c r="B267" t="s">
        <v>30</v>
      </c>
      <c r="C267" s="4">
        <v>45597</v>
      </c>
      <c r="D267">
        <v>52</v>
      </c>
      <c r="E267">
        <v>6</v>
      </c>
      <c r="F267">
        <v>492.23</v>
      </c>
      <c r="G267">
        <v>2</v>
      </c>
      <c r="H267" s="5">
        <v>0.33333333333333331</v>
      </c>
      <c r="I267">
        <v>3775.84</v>
      </c>
      <c r="J267">
        <v>2</v>
      </c>
      <c r="K267" s="5">
        <v>1.1000000000000001E-2</v>
      </c>
    </row>
    <row r="268" spans="1:11" x14ac:dyDescent="0.35">
      <c r="A268" t="s">
        <v>7</v>
      </c>
      <c r="B268" t="s">
        <v>30</v>
      </c>
      <c r="C268" s="4">
        <v>45597</v>
      </c>
      <c r="D268">
        <v>74</v>
      </c>
      <c r="E268">
        <v>17</v>
      </c>
      <c r="F268">
        <v>284.91000000000003</v>
      </c>
      <c r="G268">
        <v>3</v>
      </c>
      <c r="H268" s="5">
        <v>0.17647058823529413</v>
      </c>
      <c r="I268">
        <v>2481.64</v>
      </c>
      <c r="J268">
        <v>1</v>
      </c>
      <c r="K268" s="5">
        <v>9.0500000000000011E-2</v>
      </c>
    </row>
    <row r="269" spans="1:11" x14ac:dyDescent="0.35">
      <c r="A269" t="s">
        <v>8</v>
      </c>
      <c r="B269" t="s">
        <v>30</v>
      </c>
      <c r="C269" s="4">
        <v>45597</v>
      </c>
      <c r="D269">
        <v>50</v>
      </c>
      <c r="E269">
        <v>9</v>
      </c>
      <c r="F269">
        <v>237.95</v>
      </c>
      <c r="G269">
        <v>5</v>
      </c>
      <c r="H269" s="5">
        <v>0.55555555555555558</v>
      </c>
      <c r="I269">
        <v>3982.36</v>
      </c>
      <c r="J269">
        <v>3</v>
      </c>
      <c r="K269" s="5">
        <v>4.4299999999999999E-2</v>
      </c>
    </row>
    <row r="270" spans="1:11" x14ac:dyDescent="0.35">
      <c r="A270" t="s">
        <v>9</v>
      </c>
      <c r="B270" t="s">
        <v>30</v>
      </c>
      <c r="C270" s="4">
        <v>45597</v>
      </c>
      <c r="D270">
        <v>30</v>
      </c>
      <c r="E270">
        <v>21</v>
      </c>
      <c r="F270">
        <v>372.34</v>
      </c>
      <c r="G270">
        <v>7</v>
      </c>
      <c r="H270" s="5">
        <v>0.33333333333333331</v>
      </c>
      <c r="I270">
        <v>1172.04</v>
      </c>
      <c r="J270">
        <v>2</v>
      </c>
      <c r="K270" s="5">
        <v>5.4800000000000001E-2</v>
      </c>
    </row>
    <row r="271" spans="1:11" x14ac:dyDescent="0.35">
      <c r="A271" t="s">
        <v>10</v>
      </c>
      <c r="B271" t="s">
        <v>30</v>
      </c>
      <c r="C271" s="4">
        <v>45597</v>
      </c>
      <c r="D271">
        <v>74</v>
      </c>
      <c r="E271">
        <v>13</v>
      </c>
      <c r="F271">
        <v>324.77999999999997</v>
      </c>
      <c r="G271">
        <v>7</v>
      </c>
      <c r="H271" s="5">
        <v>0.53846153846153844</v>
      </c>
      <c r="I271">
        <v>995.6</v>
      </c>
      <c r="J271">
        <v>1</v>
      </c>
      <c r="K271" s="5">
        <v>3.0699999999999998E-2</v>
      </c>
    </row>
    <row r="272" spans="1:11" x14ac:dyDescent="0.35">
      <c r="A272" t="s">
        <v>11</v>
      </c>
      <c r="B272" t="s">
        <v>30</v>
      </c>
      <c r="C272" s="4">
        <v>45597</v>
      </c>
      <c r="D272">
        <v>23</v>
      </c>
      <c r="E272">
        <v>7</v>
      </c>
      <c r="F272">
        <v>190.12</v>
      </c>
      <c r="G272">
        <v>4</v>
      </c>
      <c r="H272" s="5">
        <v>0.5714285714285714</v>
      </c>
      <c r="I272">
        <v>788.65</v>
      </c>
      <c r="J272">
        <v>3</v>
      </c>
      <c r="K272" s="5">
        <v>7.2000000000000008E-2</v>
      </c>
    </row>
    <row r="273" spans="1:11" x14ac:dyDescent="0.35">
      <c r="A273" t="s">
        <v>12</v>
      </c>
      <c r="B273" t="s">
        <v>30</v>
      </c>
      <c r="C273" s="4">
        <v>45597</v>
      </c>
      <c r="D273">
        <v>32</v>
      </c>
      <c r="E273">
        <v>7</v>
      </c>
      <c r="F273">
        <v>563.41999999999996</v>
      </c>
      <c r="G273">
        <v>6</v>
      </c>
      <c r="H273" s="5">
        <v>0.8571428571428571</v>
      </c>
      <c r="I273">
        <v>3543.71</v>
      </c>
      <c r="J273">
        <v>2</v>
      </c>
      <c r="K273" s="5">
        <v>4.3799999999999999E-2</v>
      </c>
    </row>
    <row r="274" spans="1:11" x14ac:dyDescent="0.35">
      <c r="A274" t="s">
        <v>13</v>
      </c>
      <c r="B274" t="s">
        <v>30</v>
      </c>
      <c r="C274" s="4">
        <v>45597</v>
      </c>
      <c r="D274">
        <v>59</v>
      </c>
      <c r="E274">
        <v>21</v>
      </c>
      <c r="F274">
        <v>633.37</v>
      </c>
      <c r="G274">
        <v>2</v>
      </c>
      <c r="H274" s="5">
        <v>9.5238095238095233E-2</v>
      </c>
      <c r="I274">
        <v>358.29</v>
      </c>
      <c r="J274">
        <v>1</v>
      </c>
      <c r="K274" s="5">
        <v>3.27E-2</v>
      </c>
    </row>
    <row r="275" spans="1:11" x14ac:dyDescent="0.35">
      <c r="A275" t="s">
        <v>14</v>
      </c>
      <c r="B275" t="s">
        <v>30</v>
      </c>
      <c r="C275" s="4">
        <v>45597</v>
      </c>
      <c r="D275">
        <v>30</v>
      </c>
      <c r="E275">
        <v>6</v>
      </c>
      <c r="F275">
        <v>209.84</v>
      </c>
      <c r="G275">
        <v>1</v>
      </c>
      <c r="H275" s="5">
        <v>0.16666666666666666</v>
      </c>
      <c r="I275">
        <v>3534.1</v>
      </c>
      <c r="J275">
        <v>3</v>
      </c>
      <c r="K275" s="5">
        <v>4.2000000000000003E-2</v>
      </c>
    </row>
    <row r="276" spans="1:11" x14ac:dyDescent="0.35">
      <c r="A276" t="s">
        <v>15</v>
      </c>
      <c r="B276" t="s">
        <v>30</v>
      </c>
      <c r="C276" s="4">
        <v>45597</v>
      </c>
      <c r="D276">
        <v>65</v>
      </c>
      <c r="E276">
        <v>9</v>
      </c>
      <c r="F276">
        <v>220.46</v>
      </c>
      <c r="G276">
        <v>3</v>
      </c>
      <c r="H276" s="5">
        <v>0.33333333333333331</v>
      </c>
      <c r="I276">
        <v>707.75</v>
      </c>
      <c r="J276">
        <v>2</v>
      </c>
      <c r="K276" s="5">
        <v>2.76E-2</v>
      </c>
    </row>
    <row r="277" spans="1:11" x14ac:dyDescent="0.35">
      <c r="A277" t="s">
        <v>16</v>
      </c>
      <c r="B277" t="s">
        <v>30</v>
      </c>
      <c r="C277" s="4">
        <v>45597</v>
      </c>
      <c r="D277">
        <v>100</v>
      </c>
      <c r="E277">
        <v>6</v>
      </c>
      <c r="F277">
        <v>153.34</v>
      </c>
      <c r="G277">
        <v>3</v>
      </c>
      <c r="H277" s="5">
        <v>0.5</v>
      </c>
      <c r="I277">
        <v>1248.54</v>
      </c>
      <c r="J277">
        <v>1</v>
      </c>
      <c r="K277" s="5">
        <v>7.9000000000000001E-2</v>
      </c>
    </row>
    <row r="278" spans="1:11" x14ac:dyDescent="0.35">
      <c r="A278" t="s">
        <v>17</v>
      </c>
      <c r="B278" t="s">
        <v>30</v>
      </c>
      <c r="C278" s="4">
        <v>45597</v>
      </c>
      <c r="D278">
        <v>81</v>
      </c>
      <c r="E278">
        <v>7</v>
      </c>
      <c r="F278">
        <v>79.62</v>
      </c>
      <c r="G278">
        <v>7</v>
      </c>
      <c r="H278" s="5">
        <v>1</v>
      </c>
      <c r="I278">
        <v>3892.76</v>
      </c>
      <c r="J278">
        <v>3</v>
      </c>
      <c r="K278" s="5">
        <v>9.74E-2</v>
      </c>
    </row>
    <row r="279" spans="1:11" x14ac:dyDescent="0.35">
      <c r="A279" t="s">
        <v>18</v>
      </c>
      <c r="B279" t="s">
        <v>30</v>
      </c>
      <c r="C279" s="4">
        <v>45597</v>
      </c>
      <c r="D279">
        <v>26</v>
      </c>
      <c r="E279">
        <v>17</v>
      </c>
      <c r="F279">
        <v>504.54</v>
      </c>
      <c r="G279">
        <v>8</v>
      </c>
      <c r="H279" s="5">
        <v>0.47058823529411764</v>
      </c>
      <c r="I279">
        <v>3359.77</v>
      </c>
      <c r="J279">
        <v>2</v>
      </c>
      <c r="K279" s="5">
        <v>3.2000000000000001E-2</v>
      </c>
    </row>
    <row r="280" spans="1:11" x14ac:dyDescent="0.35">
      <c r="A280" t="s">
        <v>19</v>
      </c>
      <c r="B280" t="s">
        <v>30</v>
      </c>
      <c r="C280" s="4">
        <v>45597</v>
      </c>
      <c r="D280">
        <v>96</v>
      </c>
      <c r="E280">
        <v>16</v>
      </c>
      <c r="F280">
        <v>161.69</v>
      </c>
      <c r="G280">
        <v>5</v>
      </c>
      <c r="H280" s="5">
        <v>0.3125</v>
      </c>
      <c r="I280">
        <v>392.05</v>
      </c>
      <c r="J280">
        <v>1</v>
      </c>
      <c r="K280" s="5">
        <v>9.5700000000000007E-2</v>
      </c>
    </row>
    <row r="281" spans="1:11" x14ac:dyDescent="0.35">
      <c r="A281" t="s">
        <v>20</v>
      </c>
      <c r="B281" t="s">
        <v>30</v>
      </c>
      <c r="C281" s="4">
        <v>45597</v>
      </c>
      <c r="D281">
        <v>72</v>
      </c>
      <c r="E281">
        <v>12</v>
      </c>
      <c r="F281">
        <v>474.28</v>
      </c>
      <c r="G281">
        <v>1</v>
      </c>
      <c r="H281" s="5">
        <v>8.3333333333333329E-2</v>
      </c>
      <c r="I281">
        <v>1097.5999999999999</v>
      </c>
      <c r="J281">
        <v>3</v>
      </c>
      <c r="K281" s="5">
        <v>1E-3</v>
      </c>
    </row>
    <row r="282" spans="1:11" x14ac:dyDescent="0.35">
      <c r="A282" t="s">
        <v>21</v>
      </c>
      <c r="B282" t="s">
        <v>30</v>
      </c>
      <c r="C282" s="4">
        <v>45597</v>
      </c>
      <c r="D282">
        <v>18</v>
      </c>
      <c r="E282">
        <v>15</v>
      </c>
      <c r="F282">
        <v>268.94</v>
      </c>
      <c r="G282">
        <v>1</v>
      </c>
      <c r="H282" s="5">
        <v>6.6666666666666666E-2</v>
      </c>
      <c r="I282">
        <v>1469.71</v>
      </c>
      <c r="J282">
        <v>2</v>
      </c>
      <c r="K282" s="5">
        <v>5.0900000000000001E-2</v>
      </c>
    </row>
    <row r="283" spans="1:11" x14ac:dyDescent="0.35">
      <c r="A283" t="s">
        <v>22</v>
      </c>
      <c r="B283" t="s">
        <v>30</v>
      </c>
      <c r="C283" s="4">
        <v>45597</v>
      </c>
      <c r="D283">
        <v>87</v>
      </c>
      <c r="E283">
        <v>5</v>
      </c>
      <c r="F283">
        <v>601.28</v>
      </c>
      <c r="G283">
        <v>2</v>
      </c>
      <c r="H283" s="5">
        <v>0.4</v>
      </c>
      <c r="I283">
        <v>3491.19</v>
      </c>
      <c r="J283">
        <v>1</v>
      </c>
      <c r="K283" s="5">
        <v>2.9700000000000001E-2</v>
      </c>
    </row>
    <row r="284" spans="1:11" x14ac:dyDescent="0.35">
      <c r="A284" t="s">
        <v>23</v>
      </c>
      <c r="B284" t="s">
        <v>30</v>
      </c>
      <c r="C284" s="4">
        <v>45597</v>
      </c>
      <c r="D284">
        <v>73</v>
      </c>
      <c r="E284">
        <v>8</v>
      </c>
      <c r="F284">
        <v>182.48</v>
      </c>
      <c r="G284">
        <v>8</v>
      </c>
      <c r="H284" s="5">
        <v>1</v>
      </c>
      <c r="I284">
        <v>548.46</v>
      </c>
      <c r="J284">
        <v>1</v>
      </c>
      <c r="K284" s="5">
        <v>8.8200000000000001E-2</v>
      </c>
    </row>
    <row r="285" spans="1:11" x14ac:dyDescent="0.35">
      <c r="A285" t="s">
        <v>24</v>
      </c>
      <c r="B285" t="s">
        <v>30</v>
      </c>
      <c r="C285" s="4">
        <v>45597</v>
      </c>
      <c r="D285">
        <v>97</v>
      </c>
      <c r="E285">
        <v>14</v>
      </c>
      <c r="F285">
        <v>368.16</v>
      </c>
      <c r="G285">
        <v>0</v>
      </c>
      <c r="H285" s="5">
        <v>0</v>
      </c>
      <c r="I285">
        <v>3020.19</v>
      </c>
      <c r="J285">
        <v>3</v>
      </c>
      <c r="K285" s="5">
        <v>2.5099999999999997E-2</v>
      </c>
    </row>
    <row r="286" spans="1:11" x14ac:dyDescent="0.35">
      <c r="A286" t="s">
        <v>26</v>
      </c>
      <c r="B286" t="s">
        <v>30</v>
      </c>
      <c r="C286" s="4">
        <v>45597</v>
      </c>
      <c r="D286">
        <v>28</v>
      </c>
      <c r="E286">
        <v>12</v>
      </c>
      <c r="F286">
        <v>565.51</v>
      </c>
      <c r="G286">
        <v>4</v>
      </c>
      <c r="H286" s="5">
        <v>0.33333333333333331</v>
      </c>
      <c r="I286">
        <v>231.16</v>
      </c>
      <c r="J286">
        <v>2</v>
      </c>
      <c r="K286" s="5">
        <v>6.2699999999999992E-2</v>
      </c>
    </row>
    <row r="287" spans="1:11" x14ac:dyDescent="0.35">
      <c r="A287" t="s">
        <v>27</v>
      </c>
      <c r="B287" t="s">
        <v>30</v>
      </c>
      <c r="C287" s="4">
        <v>45597</v>
      </c>
      <c r="D287">
        <v>41</v>
      </c>
      <c r="E287">
        <v>13</v>
      </c>
      <c r="F287">
        <v>370.44</v>
      </c>
      <c r="G287">
        <v>9</v>
      </c>
      <c r="H287" s="5">
        <v>0.69230769230769229</v>
      </c>
      <c r="I287">
        <v>4484.96</v>
      </c>
      <c r="J287">
        <v>1</v>
      </c>
      <c r="K287" s="5">
        <v>8.5199999999999998E-2</v>
      </c>
    </row>
    <row r="288" spans="1:11" x14ac:dyDescent="0.35">
      <c r="A288" t="s">
        <v>0</v>
      </c>
      <c r="B288" t="s">
        <v>30</v>
      </c>
      <c r="C288" s="4">
        <v>45627</v>
      </c>
      <c r="D288">
        <v>61</v>
      </c>
      <c r="E288">
        <v>13</v>
      </c>
      <c r="F288">
        <v>356.61</v>
      </c>
      <c r="G288">
        <v>7</v>
      </c>
      <c r="H288" s="5">
        <f t="shared" ref="H288:H313" si="0">G288/E288</f>
        <v>0.53846153846153844</v>
      </c>
      <c r="I288">
        <v>4099.6400000000003</v>
      </c>
      <c r="J288">
        <v>3</v>
      </c>
      <c r="K288" s="5">
        <v>2.9600000000000001E-2</v>
      </c>
    </row>
    <row r="289" spans="1:11" x14ac:dyDescent="0.35">
      <c r="A289" t="s">
        <v>2</v>
      </c>
      <c r="B289" t="s">
        <v>30</v>
      </c>
      <c r="C289" s="4">
        <v>45627</v>
      </c>
      <c r="D289">
        <v>80</v>
      </c>
      <c r="E289">
        <v>13</v>
      </c>
      <c r="F289">
        <v>369.46</v>
      </c>
      <c r="G289">
        <v>4</v>
      </c>
      <c r="H289" s="5">
        <f t="shared" si="0"/>
        <v>0.30769230769230771</v>
      </c>
      <c r="I289">
        <v>3996.04</v>
      </c>
      <c r="J289">
        <v>2</v>
      </c>
      <c r="K289" s="5">
        <v>3.7499999999999999E-2</v>
      </c>
    </row>
    <row r="290" spans="1:11" x14ac:dyDescent="0.35">
      <c r="A290" t="s">
        <v>3</v>
      </c>
      <c r="B290" t="s">
        <v>30</v>
      </c>
      <c r="C290" s="4">
        <v>45627</v>
      </c>
      <c r="D290">
        <v>51</v>
      </c>
      <c r="E290">
        <v>14</v>
      </c>
      <c r="F290">
        <v>419.93</v>
      </c>
      <c r="G290">
        <v>2</v>
      </c>
      <c r="H290" s="5">
        <f t="shared" si="0"/>
        <v>0.14285714285714285</v>
      </c>
      <c r="I290">
        <v>3543.6</v>
      </c>
      <c r="J290">
        <v>1</v>
      </c>
      <c r="K290" s="5">
        <v>4.6300000000000001E-2</v>
      </c>
    </row>
    <row r="291" spans="1:11" x14ac:dyDescent="0.35">
      <c r="A291" t="s">
        <v>4</v>
      </c>
      <c r="B291" t="s">
        <v>30</v>
      </c>
      <c r="C291" s="4">
        <v>45627</v>
      </c>
      <c r="D291">
        <v>20</v>
      </c>
      <c r="E291">
        <v>5</v>
      </c>
      <c r="F291">
        <v>71.41</v>
      </c>
      <c r="G291">
        <v>3</v>
      </c>
      <c r="H291" s="5">
        <f t="shared" si="0"/>
        <v>0.6</v>
      </c>
      <c r="I291">
        <v>1527.27</v>
      </c>
      <c r="J291">
        <v>3</v>
      </c>
      <c r="K291" s="5">
        <v>2.7000000000000003E-2</v>
      </c>
    </row>
    <row r="292" spans="1:11" x14ac:dyDescent="0.35">
      <c r="A292" t="s">
        <v>5</v>
      </c>
      <c r="B292" t="s">
        <v>30</v>
      </c>
      <c r="C292" s="4">
        <v>45627</v>
      </c>
      <c r="D292">
        <v>101</v>
      </c>
      <c r="E292">
        <v>14</v>
      </c>
      <c r="F292">
        <v>503.93</v>
      </c>
      <c r="G292">
        <v>5</v>
      </c>
      <c r="H292" s="5">
        <f t="shared" si="0"/>
        <v>0.35714285714285715</v>
      </c>
      <c r="I292">
        <v>1116.6099999999999</v>
      </c>
      <c r="J292">
        <v>2</v>
      </c>
      <c r="K292" s="5">
        <v>3.7000000000000005E-2</v>
      </c>
    </row>
    <row r="293" spans="1:11" x14ac:dyDescent="0.35">
      <c r="A293" t="s">
        <v>6</v>
      </c>
      <c r="B293" t="s">
        <v>30</v>
      </c>
      <c r="C293" s="4">
        <v>45627</v>
      </c>
      <c r="D293">
        <v>70</v>
      </c>
      <c r="E293">
        <v>6</v>
      </c>
      <c r="F293">
        <v>488.97</v>
      </c>
      <c r="G293">
        <v>3</v>
      </c>
      <c r="H293" s="5">
        <f t="shared" si="0"/>
        <v>0.5</v>
      </c>
      <c r="I293">
        <v>3767.09</v>
      </c>
      <c r="J293">
        <v>1</v>
      </c>
      <c r="K293" s="5">
        <v>1.0800000000000001E-2</v>
      </c>
    </row>
    <row r="294" spans="1:11" x14ac:dyDescent="0.35">
      <c r="A294" t="s">
        <v>7</v>
      </c>
      <c r="B294" t="s">
        <v>30</v>
      </c>
      <c r="C294" s="4">
        <v>45627</v>
      </c>
      <c r="D294">
        <v>84</v>
      </c>
      <c r="E294">
        <v>19</v>
      </c>
      <c r="F294">
        <v>301.2</v>
      </c>
      <c r="G294">
        <v>2</v>
      </c>
      <c r="H294" s="5">
        <f t="shared" si="0"/>
        <v>0.10526315789473684</v>
      </c>
      <c r="I294">
        <v>2608.4699999999998</v>
      </c>
      <c r="J294">
        <v>3</v>
      </c>
      <c r="K294" s="5">
        <v>0.1032</v>
      </c>
    </row>
    <row r="295" spans="1:11" x14ac:dyDescent="0.35">
      <c r="A295" t="s">
        <v>8</v>
      </c>
      <c r="B295" t="s">
        <v>30</v>
      </c>
      <c r="C295" s="4">
        <v>45627</v>
      </c>
      <c r="D295">
        <v>50</v>
      </c>
      <c r="E295">
        <v>6</v>
      </c>
      <c r="F295">
        <v>219.19</v>
      </c>
      <c r="G295">
        <v>4</v>
      </c>
      <c r="H295" s="5">
        <f t="shared" si="0"/>
        <v>0.66666666666666663</v>
      </c>
      <c r="I295">
        <v>3836.95</v>
      </c>
      <c r="J295">
        <v>2</v>
      </c>
      <c r="K295" s="5">
        <v>3.8699999999999998E-2</v>
      </c>
    </row>
    <row r="296" spans="1:11" x14ac:dyDescent="0.35">
      <c r="A296" t="s">
        <v>9</v>
      </c>
      <c r="B296" t="s">
        <v>30</v>
      </c>
      <c r="C296" s="4">
        <v>45627</v>
      </c>
      <c r="D296">
        <v>28</v>
      </c>
      <c r="E296">
        <v>19</v>
      </c>
      <c r="F296">
        <v>352.06</v>
      </c>
      <c r="G296">
        <v>9</v>
      </c>
      <c r="H296" s="5">
        <f t="shared" si="0"/>
        <v>0.47368421052631576</v>
      </c>
      <c r="I296">
        <v>1107.51</v>
      </c>
      <c r="J296">
        <v>3</v>
      </c>
      <c r="K296" s="5">
        <v>5.5E-2</v>
      </c>
    </row>
    <row r="297" spans="1:11" x14ac:dyDescent="0.35">
      <c r="A297" t="s">
        <v>10</v>
      </c>
      <c r="B297" t="s">
        <v>30</v>
      </c>
      <c r="C297" s="4">
        <v>45627</v>
      </c>
      <c r="D297">
        <v>69</v>
      </c>
      <c r="E297">
        <v>16</v>
      </c>
      <c r="F297">
        <v>337.7</v>
      </c>
      <c r="G297">
        <v>9</v>
      </c>
      <c r="H297" s="5">
        <f t="shared" si="0"/>
        <v>0.5625</v>
      </c>
      <c r="I297">
        <v>947.47</v>
      </c>
      <c r="J297">
        <v>2</v>
      </c>
      <c r="K297" s="5">
        <v>3.56E-2</v>
      </c>
    </row>
    <row r="298" spans="1:11" x14ac:dyDescent="0.35">
      <c r="A298" t="s">
        <v>11</v>
      </c>
      <c r="B298" t="s">
        <v>30</v>
      </c>
      <c r="C298" s="4">
        <v>45627</v>
      </c>
      <c r="D298">
        <v>18</v>
      </c>
      <c r="E298">
        <v>6</v>
      </c>
      <c r="F298">
        <v>212.39</v>
      </c>
      <c r="G298">
        <v>3</v>
      </c>
      <c r="H298" s="5">
        <f t="shared" si="0"/>
        <v>0.5</v>
      </c>
      <c r="I298">
        <v>730.81</v>
      </c>
      <c r="J298">
        <v>1</v>
      </c>
      <c r="K298" s="5">
        <v>8.6699999999999999E-2</v>
      </c>
    </row>
    <row r="299" spans="1:11" x14ac:dyDescent="0.35">
      <c r="A299" t="s">
        <v>12</v>
      </c>
      <c r="B299" t="s">
        <v>30</v>
      </c>
      <c r="C299" s="4">
        <v>45627</v>
      </c>
      <c r="D299">
        <v>40</v>
      </c>
      <c r="E299">
        <v>7</v>
      </c>
      <c r="F299">
        <v>486.93</v>
      </c>
      <c r="G299">
        <v>7</v>
      </c>
      <c r="H299" s="5">
        <f t="shared" si="0"/>
        <v>1</v>
      </c>
      <c r="I299">
        <v>3643.63</v>
      </c>
      <c r="J299">
        <v>3</v>
      </c>
      <c r="K299" s="5">
        <v>4.0199999999999993E-2</v>
      </c>
    </row>
    <row r="300" spans="1:11" x14ac:dyDescent="0.35">
      <c r="A300" t="s">
        <v>13</v>
      </c>
      <c r="B300" t="s">
        <v>30</v>
      </c>
      <c r="C300" s="4">
        <v>45627</v>
      </c>
      <c r="D300">
        <v>77</v>
      </c>
      <c r="E300">
        <v>16</v>
      </c>
      <c r="F300">
        <v>539.26</v>
      </c>
      <c r="G300">
        <v>3</v>
      </c>
      <c r="H300" s="5">
        <f t="shared" si="0"/>
        <v>0.1875</v>
      </c>
      <c r="I300">
        <v>379.83</v>
      </c>
      <c r="J300">
        <v>2</v>
      </c>
      <c r="K300" s="5">
        <v>3.7999999999999999E-2</v>
      </c>
    </row>
    <row r="301" spans="1:11" x14ac:dyDescent="0.35">
      <c r="A301" t="s">
        <v>14</v>
      </c>
      <c r="B301" t="s">
        <v>30</v>
      </c>
      <c r="C301" s="4">
        <v>45627</v>
      </c>
      <c r="D301">
        <v>31</v>
      </c>
      <c r="E301">
        <v>6</v>
      </c>
      <c r="F301">
        <v>191.66</v>
      </c>
      <c r="G301">
        <v>2</v>
      </c>
      <c r="H301" s="5">
        <f t="shared" si="0"/>
        <v>0.33333333333333331</v>
      </c>
      <c r="I301">
        <v>3753.06</v>
      </c>
      <c r="J301">
        <v>1</v>
      </c>
      <c r="K301" s="5">
        <v>3.8300000000000001E-2</v>
      </c>
    </row>
    <row r="302" spans="1:11" x14ac:dyDescent="0.35">
      <c r="A302" t="s">
        <v>15</v>
      </c>
      <c r="B302" t="s">
        <v>30</v>
      </c>
      <c r="C302" s="4">
        <v>45627</v>
      </c>
      <c r="D302">
        <v>57</v>
      </c>
      <c r="E302">
        <v>7</v>
      </c>
      <c r="F302">
        <v>190.08</v>
      </c>
      <c r="G302">
        <v>2</v>
      </c>
      <c r="H302" s="5">
        <f t="shared" si="0"/>
        <v>0.2857142857142857</v>
      </c>
      <c r="I302">
        <v>649.97</v>
      </c>
      <c r="J302">
        <v>3</v>
      </c>
      <c r="K302" s="5">
        <v>2.8799999999999999E-2</v>
      </c>
    </row>
    <row r="303" spans="1:11" x14ac:dyDescent="0.35">
      <c r="A303" t="s">
        <v>16</v>
      </c>
      <c r="B303" t="s">
        <v>30</v>
      </c>
      <c r="C303" s="4">
        <v>45627</v>
      </c>
      <c r="D303">
        <v>88</v>
      </c>
      <c r="E303">
        <v>5</v>
      </c>
      <c r="F303">
        <v>168.89</v>
      </c>
      <c r="G303">
        <v>3</v>
      </c>
      <c r="H303" s="5">
        <f t="shared" si="0"/>
        <v>0.6</v>
      </c>
      <c r="I303">
        <v>1153.93</v>
      </c>
      <c r="J303">
        <v>2</v>
      </c>
      <c r="K303" s="5">
        <v>8.2500000000000004E-2</v>
      </c>
    </row>
    <row r="304" spans="1:11" x14ac:dyDescent="0.35">
      <c r="A304" t="s">
        <v>17</v>
      </c>
      <c r="B304" t="s">
        <v>30</v>
      </c>
      <c r="C304" s="4">
        <v>45627</v>
      </c>
      <c r="D304">
        <v>74</v>
      </c>
      <c r="E304">
        <v>6</v>
      </c>
      <c r="F304">
        <v>87.83</v>
      </c>
      <c r="G304">
        <v>6</v>
      </c>
      <c r="H304" s="5">
        <f t="shared" si="0"/>
        <v>1</v>
      </c>
      <c r="I304">
        <v>3741.27</v>
      </c>
      <c r="J304">
        <v>1</v>
      </c>
      <c r="K304" s="5">
        <v>9.9700000000000011E-2</v>
      </c>
    </row>
    <row r="305" spans="1:11" x14ac:dyDescent="0.35">
      <c r="A305" t="s">
        <v>18</v>
      </c>
      <c r="B305" t="s">
        <v>30</v>
      </c>
      <c r="C305" s="4">
        <v>45627</v>
      </c>
      <c r="D305">
        <v>26</v>
      </c>
      <c r="E305">
        <v>13</v>
      </c>
      <c r="F305">
        <v>543.15</v>
      </c>
      <c r="G305">
        <v>6</v>
      </c>
      <c r="H305" s="5">
        <f t="shared" si="0"/>
        <v>0.46153846153846156</v>
      </c>
      <c r="I305">
        <v>3793.56</v>
      </c>
      <c r="J305">
        <v>3</v>
      </c>
      <c r="K305" s="5">
        <v>3.56E-2</v>
      </c>
    </row>
    <row r="306" spans="1:11" x14ac:dyDescent="0.35">
      <c r="A306" t="s">
        <v>19</v>
      </c>
      <c r="B306" t="s">
        <v>30</v>
      </c>
      <c r="C306" s="4">
        <v>45627</v>
      </c>
      <c r="D306">
        <v>99</v>
      </c>
      <c r="E306">
        <v>15</v>
      </c>
      <c r="F306">
        <v>181.12</v>
      </c>
      <c r="G306">
        <v>5</v>
      </c>
      <c r="H306" s="5">
        <f t="shared" si="0"/>
        <v>0.33333333333333331</v>
      </c>
      <c r="I306">
        <v>454.09</v>
      </c>
      <c r="J306">
        <v>2</v>
      </c>
      <c r="K306" s="5">
        <v>9.3599999999999989E-2</v>
      </c>
    </row>
    <row r="307" spans="1:11" x14ac:dyDescent="0.35">
      <c r="A307" t="s">
        <v>20</v>
      </c>
      <c r="B307" t="s">
        <v>30</v>
      </c>
      <c r="C307" s="4">
        <v>45627</v>
      </c>
      <c r="D307">
        <v>74</v>
      </c>
      <c r="E307">
        <v>14</v>
      </c>
      <c r="F307">
        <v>508.85</v>
      </c>
      <c r="G307">
        <v>1</v>
      </c>
      <c r="H307" s="5">
        <f t="shared" si="0"/>
        <v>7.1428571428571425E-2</v>
      </c>
      <c r="I307">
        <v>1182.6300000000001</v>
      </c>
      <c r="J307">
        <v>1</v>
      </c>
      <c r="K307" s="5">
        <v>8.9999999999999998E-4</v>
      </c>
    </row>
    <row r="308" spans="1:11" x14ac:dyDescent="0.35">
      <c r="A308" t="s">
        <v>21</v>
      </c>
      <c r="B308" t="s">
        <v>30</v>
      </c>
      <c r="C308" s="4">
        <v>45627</v>
      </c>
      <c r="D308">
        <v>21</v>
      </c>
      <c r="E308">
        <v>17</v>
      </c>
      <c r="F308">
        <v>297.83999999999997</v>
      </c>
      <c r="G308">
        <v>1</v>
      </c>
      <c r="H308" s="5">
        <f t="shared" si="0"/>
        <v>5.8823529411764705E-2</v>
      </c>
      <c r="I308">
        <v>1553.7</v>
      </c>
      <c r="J308">
        <v>1</v>
      </c>
      <c r="K308" s="5">
        <v>5.0700000000000002E-2</v>
      </c>
    </row>
    <row r="309" spans="1:11" x14ac:dyDescent="0.35">
      <c r="A309" t="s">
        <v>22</v>
      </c>
      <c r="B309" t="s">
        <v>30</v>
      </c>
      <c r="C309" s="4">
        <v>45627</v>
      </c>
      <c r="D309">
        <v>94</v>
      </c>
      <c r="E309">
        <v>6</v>
      </c>
      <c r="F309">
        <v>537.26</v>
      </c>
      <c r="G309">
        <v>1</v>
      </c>
      <c r="H309" s="5">
        <f t="shared" si="0"/>
        <v>0.16666666666666666</v>
      </c>
      <c r="I309">
        <v>3665.55</v>
      </c>
      <c r="J309">
        <v>3</v>
      </c>
      <c r="K309" s="5">
        <v>3.0800000000000001E-2</v>
      </c>
    </row>
    <row r="310" spans="1:11" x14ac:dyDescent="0.35">
      <c r="A310" t="s">
        <v>23</v>
      </c>
      <c r="B310" t="s">
        <v>30</v>
      </c>
      <c r="C310" s="4">
        <v>45627</v>
      </c>
      <c r="D310">
        <v>83</v>
      </c>
      <c r="E310">
        <v>9</v>
      </c>
      <c r="F310">
        <v>188.49</v>
      </c>
      <c r="G310">
        <v>7</v>
      </c>
      <c r="H310" s="5">
        <f t="shared" si="0"/>
        <v>0.77777777777777779</v>
      </c>
      <c r="I310">
        <v>545.09</v>
      </c>
      <c r="J310">
        <v>2</v>
      </c>
      <c r="K310" s="5">
        <v>8.5600000000000009E-2</v>
      </c>
    </row>
    <row r="311" spans="1:11" x14ac:dyDescent="0.35">
      <c r="A311" t="s">
        <v>24</v>
      </c>
      <c r="B311" t="s">
        <v>30</v>
      </c>
      <c r="C311" s="4">
        <v>45627</v>
      </c>
      <c r="D311">
        <v>84</v>
      </c>
      <c r="E311">
        <v>14</v>
      </c>
      <c r="F311">
        <v>370.36</v>
      </c>
      <c r="G311">
        <v>0</v>
      </c>
      <c r="H311" s="5">
        <f t="shared" si="0"/>
        <v>0</v>
      </c>
      <c r="I311">
        <v>2605.02</v>
      </c>
      <c r="J311">
        <v>1</v>
      </c>
      <c r="K311" s="5">
        <v>2.5499999999999998E-2</v>
      </c>
    </row>
    <row r="312" spans="1:11" x14ac:dyDescent="0.35">
      <c r="A312" t="s">
        <v>26</v>
      </c>
      <c r="B312" t="s">
        <v>30</v>
      </c>
      <c r="C312" s="4">
        <v>45627</v>
      </c>
      <c r="D312">
        <v>32</v>
      </c>
      <c r="E312">
        <v>10</v>
      </c>
      <c r="F312">
        <v>500.83</v>
      </c>
      <c r="G312">
        <v>4</v>
      </c>
      <c r="H312" s="5">
        <f t="shared" si="0"/>
        <v>0.4</v>
      </c>
      <c r="I312">
        <v>239.13</v>
      </c>
      <c r="J312">
        <v>3</v>
      </c>
      <c r="K312" s="5">
        <v>6.1900000000000004E-2</v>
      </c>
    </row>
    <row r="313" spans="1:11" x14ac:dyDescent="0.35">
      <c r="A313" t="s">
        <v>27</v>
      </c>
      <c r="B313" t="s">
        <v>30</v>
      </c>
      <c r="C313" s="4">
        <v>45627</v>
      </c>
      <c r="D313">
        <v>39</v>
      </c>
      <c r="E313">
        <v>15</v>
      </c>
      <c r="F313">
        <v>319.08999999999997</v>
      </c>
      <c r="G313">
        <v>7</v>
      </c>
      <c r="H313" s="5">
        <f t="shared" si="0"/>
        <v>0.46666666666666667</v>
      </c>
      <c r="I313">
        <v>4573.5</v>
      </c>
      <c r="J313">
        <v>2</v>
      </c>
      <c r="K313" s="5">
        <v>8.0399999999999985E-2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D73C-5CB2-4053-BC36-02A749388862}">
  <dimension ref="A1:E39"/>
  <sheetViews>
    <sheetView topLeftCell="C2" workbookViewId="0">
      <selection activeCell="D18" sqref="D18"/>
    </sheetView>
  </sheetViews>
  <sheetFormatPr defaultRowHeight="14.5" x14ac:dyDescent="0.35"/>
  <cols>
    <col min="1" max="1" width="12.36328125" bestFit="1" customWidth="1"/>
    <col min="2" max="2" width="20.81640625" bestFit="1" customWidth="1"/>
    <col min="3" max="3" width="17.81640625" bestFit="1" customWidth="1"/>
    <col min="4" max="4" width="18.90625" bestFit="1" customWidth="1"/>
  </cols>
  <sheetData>
    <row r="1" spans="1:5" x14ac:dyDescent="0.35">
      <c r="A1" s="6" t="s">
        <v>42</v>
      </c>
      <c r="B1" s="6"/>
      <c r="D1" t="s">
        <v>65</v>
      </c>
      <c r="E1" t="s">
        <v>66</v>
      </c>
    </row>
    <row r="2" spans="1:5" x14ac:dyDescent="0.35">
      <c r="A2" s="6"/>
      <c r="B2" s="6"/>
    </row>
    <row r="5" spans="1:5" x14ac:dyDescent="0.35">
      <c r="A5" s="7" t="s">
        <v>43</v>
      </c>
    </row>
    <row r="6" spans="1:5" x14ac:dyDescent="0.35">
      <c r="A6" s="9" t="s">
        <v>44</v>
      </c>
      <c r="B6" s="10">
        <v>18300</v>
      </c>
    </row>
    <row r="7" spans="1:5" x14ac:dyDescent="0.35">
      <c r="A7" s="9" t="s">
        <v>45</v>
      </c>
      <c r="B7" s="10">
        <v>3619</v>
      </c>
    </row>
    <row r="8" spans="1:5" x14ac:dyDescent="0.35">
      <c r="A8" s="9" t="s">
        <v>46</v>
      </c>
      <c r="B8" s="10">
        <v>1309</v>
      </c>
    </row>
    <row r="9" spans="1:5" x14ac:dyDescent="0.35">
      <c r="A9" s="9" t="s">
        <v>47</v>
      </c>
      <c r="B9" s="10">
        <v>706194.88999999966</v>
      </c>
    </row>
    <row r="12" spans="1:5" x14ac:dyDescent="0.35">
      <c r="A12" s="11" t="s">
        <v>48</v>
      </c>
    </row>
    <row r="14" spans="1:5" x14ac:dyDescent="0.35">
      <c r="A14" s="7" t="s">
        <v>49</v>
      </c>
      <c r="B14" t="s">
        <v>51</v>
      </c>
    </row>
    <row r="15" spans="1:5" x14ac:dyDescent="0.35">
      <c r="A15" s="8" t="s">
        <v>30</v>
      </c>
      <c r="B15" s="12">
        <v>1.9830508474576272</v>
      </c>
      <c r="D15" t="str">
        <f>A15</f>
        <v>Barisal</v>
      </c>
      <c r="E15" s="13">
        <f>B15</f>
        <v>1.9830508474576272</v>
      </c>
    </row>
    <row r="16" spans="1:5" x14ac:dyDescent="0.35">
      <c r="A16" s="8" t="s">
        <v>29</v>
      </c>
      <c r="B16" s="12">
        <v>1.9767441860465116</v>
      </c>
      <c r="D16" t="str">
        <f t="shared" ref="D16:D19" si="0">A16</f>
        <v>Chittagong</v>
      </c>
      <c r="E16" s="13">
        <f t="shared" ref="E16:E19" si="1">B16</f>
        <v>1.9767441860465116</v>
      </c>
    </row>
    <row r="17" spans="1:5" x14ac:dyDescent="0.35">
      <c r="A17" s="8" t="s">
        <v>1</v>
      </c>
      <c r="B17" s="12">
        <v>2</v>
      </c>
      <c r="D17" t="str">
        <f t="shared" si="0"/>
        <v>Dhaka</v>
      </c>
      <c r="E17" s="13">
        <f t="shared" si="1"/>
        <v>2</v>
      </c>
    </row>
    <row r="18" spans="1:5" x14ac:dyDescent="0.35">
      <c r="A18" s="8" t="s">
        <v>25</v>
      </c>
      <c r="B18" s="12">
        <v>1.9787234042553192</v>
      </c>
      <c r="D18" t="str">
        <f t="shared" si="0"/>
        <v>Rangpur</v>
      </c>
      <c r="E18" s="13">
        <f t="shared" si="1"/>
        <v>1.9787234042553192</v>
      </c>
    </row>
    <row r="19" spans="1:5" x14ac:dyDescent="0.35">
      <c r="A19" s="8" t="s">
        <v>28</v>
      </c>
      <c r="B19" s="12">
        <v>1.9545454545454546</v>
      </c>
      <c r="D19" t="str">
        <f t="shared" si="0"/>
        <v>Sylhet</v>
      </c>
      <c r="E19" s="13">
        <f t="shared" si="1"/>
        <v>1.9545454545454546</v>
      </c>
    </row>
    <row r="20" spans="1:5" x14ac:dyDescent="0.35">
      <c r="A20" s="8" t="s">
        <v>50</v>
      </c>
      <c r="B20" s="12">
        <v>1.9807692307692308</v>
      </c>
    </row>
    <row r="23" spans="1:5" x14ac:dyDescent="0.35">
      <c r="A23" s="8" t="s">
        <v>52</v>
      </c>
    </row>
    <row r="26" spans="1:5" x14ac:dyDescent="0.35">
      <c r="A26" s="7" t="s">
        <v>49</v>
      </c>
      <c r="B26" t="s">
        <v>47</v>
      </c>
    </row>
    <row r="27" spans="1:5" x14ac:dyDescent="0.35">
      <c r="A27" s="8" t="s">
        <v>53</v>
      </c>
      <c r="B27" s="12">
        <v>57863.17</v>
      </c>
    </row>
    <row r="28" spans="1:5" x14ac:dyDescent="0.35">
      <c r="A28" s="8" t="s">
        <v>54</v>
      </c>
      <c r="B28" s="12">
        <v>59230.42</v>
      </c>
    </row>
    <row r="29" spans="1:5" x14ac:dyDescent="0.35">
      <c r="A29" s="8" t="s">
        <v>55</v>
      </c>
      <c r="B29" s="12">
        <v>60127</v>
      </c>
    </row>
    <row r="30" spans="1:5" x14ac:dyDescent="0.35">
      <c r="A30" s="8" t="s">
        <v>56</v>
      </c>
      <c r="B30" s="12">
        <v>58604.41</v>
      </c>
    </row>
    <row r="31" spans="1:5" x14ac:dyDescent="0.35">
      <c r="A31" s="8" t="s">
        <v>57</v>
      </c>
      <c r="B31" s="12">
        <v>58564.01999999999</v>
      </c>
    </row>
    <row r="32" spans="1:5" x14ac:dyDescent="0.35">
      <c r="A32" s="8" t="s">
        <v>58</v>
      </c>
      <c r="B32" s="12">
        <v>58260.729999999996</v>
      </c>
    </row>
    <row r="33" spans="1:2" x14ac:dyDescent="0.35">
      <c r="A33" s="8" t="s">
        <v>59</v>
      </c>
      <c r="B33" s="12">
        <v>58845.83</v>
      </c>
    </row>
    <row r="34" spans="1:2" x14ac:dyDescent="0.35">
      <c r="A34" s="8" t="s">
        <v>60</v>
      </c>
      <c r="B34" s="12">
        <v>58668.120000000017</v>
      </c>
    </row>
    <row r="35" spans="1:2" x14ac:dyDescent="0.35">
      <c r="A35" s="8" t="s">
        <v>61</v>
      </c>
      <c r="B35" s="12">
        <v>59025.210000000006</v>
      </c>
    </row>
    <row r="36" spans="1:2" x14ac:dyDescent="0.35">
      <c r="A36" s="8" t="s">
        <v>62</v>
      </c>
      <c r="B36" s="12">
        <v>58653.95</v>
      </c>
    </row>
    <row r="37" spans="1:2" x14ac:dyDescent="0.35">
      <c r="A37" s="8" t="s">
        <v>63</v>
      </c>
      <c r="B37" s="12">
        <v>59136.610000000008</v>
      </c>
    </row>
    <row r="38" spans="1:2" x14ac:dyDescent="0.35">
      <c r="A38" s="8" t="s">
        <v>64</v>
      </c>
      <c r="B38" s="12">
        <v>59215.419999999984</v>
      </c>
    </row>
    <row r="39" spans="1:2" x14ac:dyDescent="0.35">
      <c r="A39" s="8" t="s">
        <v>50</v>
      </c>
      <c r="B39" s="12">
        <v>706194.8899999999</v>
      </c>
    </row>
  </sheetData>
  <mergeCells count="1">
    <mergeCell ref="A1:B2"/>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0FB4F-1C96-4622-BB68-CAFEB4FC0F6B}">
  <dimension ref="A1:O35"/>
  <sheetViews>
    <sheetView showGridLines="0" zoomScale="54" workbookViewId="0">
      <selection activeCell="R21" sqref="R21"/>
    </sheetView>
  </sheetViews>
  <sheetFormatPr defaultRowHeight="14.5" x14ac:dyDescent="0.35"/>
  <cols>
    <col min="3" max="3" width="14.7265625" bestFit="1" customWidth="1"/>
    <col min="4" max="4" width="10.1796875" bestFit="1" customWidth="1"/>
    <col min="5" max="5" width="12.1796875" bestFit="1" customWidth="1"/>
    <col min="6" max="6" width="13.7265625" bestFit="1" customWidth="1"/>
    <col min="7" max="7" width="13.08984375" bestFit="1" customWidth="1"/>
  </cols>
  <sheetData>
    <row r="1" spans="1:15" x14ac:dyDescent="0.35">
      <c r="A1" s="14"/>
      <c r="B1" s="14"/>
      <c r="C1" s="14"/>
      <c r="D1" s="14"/>
      <c r="E1" s="14"/>
      <c r="F1" s="14"/>
      <c r="G1" s="14"/>
      <c r="H1" s="14"/>
      <c r="I1" s="14"/>
      <c r="J1" s="14"/>
      <c r="K1" s="14"/>
      <c r="L1" s="14"/>
      <c r="M1" s="14"/>
      <c r="N1" s="14"/>
      <c r="O1" s="14"/>
    </row>
    <row r="2" spans="1:15" x14ac:dyDescent="0.35">
      <c r="A2" s="14"/>
      <c r="B2" s="14"/>
      <c r="C2" s="14"/>
      <c r="D2" s="14"/>
      <c r="E2" s="14"/>
      <c r="F2" s="14"/>
      <c r="G2" s="14"/>
      <c r="H2" s="14"/>
      <c r="I2" s="14"/>
      <c r="J2" s="14"/>
      <c r="K2" s="14"/>
      <c r="L2" s="14"/>
      <c r="M2" s="14"/>
      <c r="N2" s="14"/>
      <c r="O2" s="14"/>
    </row>
    <row r="3" spans="1:15" x14ac:dyDescent="0.35">
      <c r="A3" s="14"/>
      <c r="B3" s="14"/>
      <c r="C3" s="15" t="s">
        <v>67</v>
      </c>
      <c r="D3" s="15"/>
      <c r="E3" s="14"/>
      <c r="F3" s="14"/>
      <c r="G3" s="14"/>
      <c r="H3" s="14"/>
      <c r="I3" s="14"/>
      <c r="J3" s="14"/>
      <c r="K3" s="14"/>
      <c r="L3" s="14"/>
      <c r="M3" s="14"/>
      <c r="N3" s="14"/>
      <c r="O3" s="14"/>
    </row>
    <row r="4" spans="1:15" x14ac:dyDescent="0.35">
      <c r="A4" s="14"/>
      <c r="B4" s="14"/>
      <c r="C4" s="14"/>
      <c r="D4" s="14"/>
      <c r="E4" s="14"/>
      <c r="F4" s="14"/>
      <c r="G4" s="14"/>
      <c r="H4" s="14"/>
      <c r="I4" s="14"/>
      <c r="J4" s="14"/>
      <c r="K4" s="14"/>
      <c r="L4" s="14"/>
      <c r="M4" s="14"/>
      <c r="N4" s="14"/>
      <c r="O4" s="14"/>
    </row>
    <row r="5" spans="1:15" x14ac:dyDescent="0.35">
      <c r="A5" s="14"/>
      <c r="B5" s="14"/>
      <c r="C5" s="14"/>
      <c r="D5" s="14"/>
      <c r="E5" s="14"/>
      <c r="F5" s="14"/>
      <c r="G5" s="14"/>
      <c r="H5" s="14"/>
      <c r="I5" s="14"/>
      <c r="J5" s="14"/>
      <c r="K5" s="14"/>
      <c r="L5" s="14"/>
      <c r="M5" s="14"/>
      <c r="N5" s="14"/>
      <c r="O5" s="14"/>
    </row>
    <row r="6" spans="1:15" x14ac:dyDescent="0.35">
      <c r="A6" s="16"/>
      <c r="B6" s="16"/>
      <c r="C6" s="17" t="s">
        <v>49</v>
      </c>
      <c r="D6" s="17" t="s">
        <v>44</v>
      </c>
      <c r="E6" s="17" t="s">
        <v>46</v>
      </c>
      <c r="F6" s="17" t="s">
        <v>47</v>
      </c>
      <c r="G6" t="s">
        <v>45</v>
      </c>
      <c r="H6" s="16"/>
      <c r="I6" s="16"/>
      <c r="J6" s="16"/>
      <c r="K6" s="16"/>
      <c r="L6" s="16"/>
      <c r="M6" s="16"/>
      <c r="N6" s="16"/>
      <c r="O6" s="16"/>
    </row>
    <row r="7" spans="1:15" x14ac:dyDescent="0.35">
      <c r="A7" s="16"/>
      <c r="B7" s="16"/>
      <c r="C7" s="8" t="s">
        <v>16</v>
      </c>
      <c r="D7" s="12">
        <v>1119</v>
      </c>
      <c r="E7" s="12">
        <v>40</v>
      </c>
      <c r="F7" s="12">
        <v>14672.969999999998</v>
      </c>
      <c r="G7" s="12">
        <v>61</v>
      </c>
      <c r="H7" s="16"/>
      <c r="I7" s="16"/>
      <c r="J7" s="16"/>
      <c r="K7" s="16"/>
      <c r="L7" s="16"/>
      <c r="M7" s="16"/>
      <c r="N7" s="16"/>
      <c r="O7" s="16"/>
    </row>
    <row r="8" spans="1:15" x14ac:dyDescent="0.35">
      <c r="A8" s="16"/>
      <c r="B8" s="16"/>
      <c r="C8" s="8" t="s">
        <v>2</v>
      </c>
      <c r="D8" s="12">
        <v>907</v>
      </c>
      <c r="E8" s="12">
        <v>53</v>
      </c>
      <c r="F8" s="12">
        <v>45196.26</v>
      </c>
      <c r="G8" s="12">
        <v>141</v>
      </c>
      <c r="H8" s="16"/>
      <c r="I8" s="16"/>
      <c r="J8" s="16"/>
      <c r="K8" s="16"/>
      <c r="L8" s="16"/>
      <c r="M8" s="16"/>
      <c r="N8" s="16"/>
      <c r="O8" s="16"/>
    </row>
    <row r="9" spans="1:15" x14ac:dyDescent="0.35">
      <c r="A9" s="16"/>
      <c r="B9" s="16"/>
      <c r="C9" s="8" t="s">
        <v>6</v>
      </c>
      <c r="D9" s="12">
        <v>731</v>
      </c>
      <c r="E9" s="12">
        <v>31</v>
      </c>
      <c r="F9" s="12">
        <v>43859.520000000004</v>
      </c>
      <c r="G9" s="12">
        <v>79</v>
      </c>
      <c r="H9" s="16"/>
      <c r="I9" s="16"/>
      <c r="J9" s="16"/>
      <c r="K9" s="16"/>
      <c r="L9" s="16"/>
      <c r="M9" s="16"/>
      <c r="N9" s="16"/>
      <c r="O9" s="16"/>
    </row>
    <row r="10" spans="1:15" x14ac:dyDescent="0.35">
      <c r="A10" s="16"/>
      <c r="B10" s="16"/>
      <c r="C10" s="8" t="s">
        <v>8</v>
      </c>
      <c r="D10" s="12">
        <v>660</v>
      </c>
      <c r="E10" s="12">
        <v>71</v>
      </c>
      <c r="F10" s="12">
        <v>49072.98</v>
      </c>
      <c r="G10" s="12">
        <v>92</v>
      </c>
      <c r="H10" s="16"/>
      <c r="I10" s="16"/>
      <c r="J10" s="16"/>
      <c r="K10" s="16"/>
      <c r="L10" s="16"/>
      <c r="M10" s="16"/>
      <c r="N10" s="16"/>
      <c r="O10" s="16"/>
    </row>
    <row r="11" spans="1:15" x14ac:dyDescent="0.35">
      <c r="A11" s="16"/>
      <c r="B11" s="16"/>
      <c r="C11" s="8" t="s">
        <v>10</v>
      </c>
      <c r="D11" s="12">
        <v>806</v>
      </c>
      <c r="E11" s="12">
        <v>100</v>
      </c>
      <c r="F11" s="12">
        <v>12040.489999999998</v>
      </c>
      <c r="G11" s="12">
        <v>184</v>
      </c>
      <c r="H11" s="16"/>
      <c r="I11" s="16"/>
      <c r="J11" s="16"/>
      <c r="K11" s="16"/>
      <c r="L11" s="16"/>
      <c r="M11" s="16"/>
      <c r="N11" s="16"/>
      <c r="O11" s="16"/>
    </row>
    <row r="12" spans="1:15" x14ac:dyDescent="0.35">
      <c r="A12" s="16"/>
      <c r="B12" s="16"/>
      <c r="C12" s="8" t="s">
        <v>24</v>
      </c>
      <c r="D12" s="12">
        <v>1180</v>
      </c>
      <c r="E12" s="12">
        <v>4</v>
      </c>
      <c r="F12" s="12">
        <v>34781.939999999995</v>
      </c>
      <c r="G12" s="12">
        <v>173</v>
      </c>
      <c r="H12" s="16"/>
      <c r="I12" s="16"/>
      <c r="J12" s="16"/>
      <c r="K12" s="16"/>
      <c r="L12" s="16"/>
      <c r="M12" s="16"/>
      <c r="N12" s="16"/>
      <c r="O12" s="16"/>
    </row>
    <row r="13" spans="1:15" x14ac:dyDescent="0.35">
      <c r="A13" s="16"/>
      <c r="B13" s="16"/>
      <c r="C13" s="8" t="s">
        <v>18</v>
      </c>
      <c r="D13" s="12">
        <v>288</v>
      </c>
      <c r="E13" s="12">
        <v>81</v>
      </c>
      <c r="F13" s="12">
        <v>44979.729999999996</v>
      </c>
      <c r="G13" s="12">
        <v>180</v>
      </c>
      <c r="H13" s="16"/>
      <c r="I13" s="16"/>
      <c r="J13" s="16"/>
      <c r="K13" s="16"/>
      <c r="L13" s="16"/>
      <c r="M13" s="16"/>
      <c r="N13" s="16"/>
      <c r="O13" s="16"/>
    </row>
    <row r="14" spans="1:15" x14ac:dyDescent="0.35">
      <c r="A14" s="16"/>
      <c r="B14" s="16"/>
      <c r="C14" s="8" t="s">
        <v>26</v>
      </c>
      <c r="D14" s="12">
        <v>407</v>
      </c>
      <c r="E14" s="12">
        <v>52</v>
      </c>
      <c r="F14" s="12">
        <v>2829.58</v>
      </c>
      <c r="G14" s="12">
        <v>130</v>
      </c>
      <c r="H14" s="16"/>
      <c r="I14" s="16"/>
      <c r="J14" s="16"/>
      <c r="K14" s="16"/>
      <c r="L14" s="16"/>
      <c r="M14" s="16"/>
      <c r="N14" s="16"/>
      <c r="O14" s="16"/>
    </row>
    <row r="15" spans="1:15" x14ac:dyDescent="0.35">
      <c r="A15" s="16"/>
      <c r="B15" s="16"/>
      <c r="C15" s="8" t="s">
        <v>3</v>
      </c>
      <c r="D15" s="12">
        <v>617</v>
      </c>
      <c r="E15" s="12">
        <v>28</v>
      </c>
      <c r="F15" s="12">
        <v>42137.53</v>
      </c>
      <c r="G15" s="12">
        <v>177</v>
      </c>
      <c r="H15" s="16"/>
      <c r="I15" s="16"/>
      <c r="J15" s="16"/>
      <c r="K15" s="16"/>
      <c r="L15" s="16"/>
      <c r="M15" s="16"/>
      <c r="N15" s="16"/>
      <c r="O15" s="16"/>
    </row>
    <row r="16" spans="1:15" x14ac:dyDescent="0.35">
      <c r="A16" s="16"/>
      <c r="B16" s="16"/>
      <c r="C16" s="8" t="s">
        <v>22</v>
      </c>
      <c r="D16" s="12">
        <v>1151</v>
      </c>
      <c r="E16" s="12">
        <v>18</v>
      </c>
      <c r="F16" s="12">
        <v>41544.150000000009</v>
      </c>
      <c r="G16" s="12">
        <v>69</v>
      </c>
      <c r="H16" s="16"/>
      <c r="I16" s="16"/>
      <c r="J16" s="16"/>
      <c r="K16" s="16"/>
      <c r="L16" s="16"/>
      <c r="M16" s="16"/>
      <c r="N16" s="16"/>
      <c r="O16" s="16"/>
    </row>
    <row r="17" spans="1:15" x14ac:dyDescent="0.35">
      <c r="A17" s="16"/>
      <c r="B17" s="16"/>
      <c r="C17" s="8" t="s">
        <v>0</v>
      </c>
      <c r="D17" s="12">
        <v>783</v>
      </c>
      <c r="E17" s="12">
        <v>77</v>
      </c>
      <c r="F17" s="12">
        <v>49041</v>
      </c>
      <c r="G17" s="12">
        <v>181</v>
      </c>
      <c r="H17" s="16"/>
      <c r="I17" s="16"/>
      <c r="J17" s="16"/>
      <c r="K17" s="16"/>
      <c r="L17" s="16"/>
      <c r="M17" s="16"/>
      <c r="N17" s="16"/>
      <c r="O17" s="16"/>
    </row>
    <row r="18" spans="1:15" x14ac:dyDescent="0.35">
      <c r="A18" s="16"/>
      <c r="B18" s="16"/>
      <c r="C18" s="8" t="s">
        <v>21</v>
      </c>
      <c r="D18" s="12">
        <v>246</v>
      </c>
      <c r="E18" s="12">
        <v>17</v>
      </c>
      <c r="F18" s="12">
        <v>18659.18</v>
      </c>
      <c r="G18" s="12">
        <v>172</v>
      </c>
      <c r="H18" s="16"/>
      <c r="I18" s="16"/>
      <c r="J18" s="16"/>
      <c r="K18" s="16"/>
      <c r="L18" s="16"/>
      <c r="M18" s="16"/>
      <c r="N18" s="16"/>
      <c r="O18" s="16"/>
    </row>
    <row r="19" spans="1:15" x14ac:dyDescent="0.35">
      <c r="A19" s="16"/>
      <c r="B19" s="16"/>
      <c r="C19" s="8" t="s">
        <v>14</v>
      </c>
      <c r="D19" s="12">
        <v>379</v>
      </c>
      <c r="E19" s="12">
        <v>18</v>
      </c>
      <c r="F19" s="12">
        <v>45591.429999999993</v>
      </c>
      <c r="G19" s="12">
        <v>87</v>
      </c>
      <c r="H19" s="16"/>
      <c r="I19" s="16"/>
      <c r="J19" s="16"/>
      <c r="K19" s="16"/>
      <c r="L19" s="16"/>
      <c r="M19" s="16"/>
      <c r="N19" s="16"/>
      <c r="O19" s="16"/>
    </row>
    <row r="20" spans="1:15" x14ac:dyDescent="0.35">
      <c r="A20" s="16"/>
      <c r="B20" s="16"/>
      <c r="C20" s="8" t="s">
        <v>4</v>
      </c>
      <c r="D20" s="12">
        <v>241</v>
      </c>
      <c r="E20" s="12">
        <v>40</v>
      </c>
      <c r="F20" s="12">
        <v>18368.47</v>
      </c>
      <c r="G20" s="12">
        <v>80</v>
      </c>
      <c r="H20" s="16"/>
      <c r="I20" s="16"/>
      <c r="J20" s="16"/>
      <c r="K20" s="16"/>
      <c r="L20" s="16"/>
      <c r="M20" s="16"/>
      <c r="N20" s="16"/>
      <c r="O20" s="16"/>
    </row>
    <row r="21" spans="1:15" x14ac:dyDescent="0.35">
      <c r="A21" s="16"/>
      <c r="B21" s="16"/>
      <c r="C21" s="8" t="s">
        <v>11</v>
      </c>
      <c r="D21" s="12">
        <v>226</v>
      </c>
      <c r="E21" s="12">
        <v>73</v>
      </c>
      <c r="F21" s="12">
        <v>9402.9399999999987</v>
      </c>
      <c r="G21" s="12">
        <v>91</v>
      </c>
      <c r="H21" s="16"/>
      <c r="I21" s="16"/>
      <c r="J21" s="16"/>
      <c r="K21" s="16"/>
      <c r="L21" s="16"/>
      <c r="M21" s="16"/>
      <c r="N21" s="16"/>
      <c r="O21" s="16"/>
    </row>
    <row r="22" spans="1:15" x14ac:dyDescent="0.35">
      <c r="A22" s="16"/>
      <c r="B22" s="16"/>
      <c r="C22" s="8" t="s">
        <v>23</v>
      </c>
      <c r="D22" s="12">
        <v>848</v>
      </c>
      <c r="E22" s="12">
        <v>84</v>
      </c>
      <c r="F22" s="12">
        <v>6133.4100000000008</v>
      </c>
      <c r="G22" s="12">
        <v>99</v>
      </c>
      <c r="H22" s="16"/>
      <c r="I22" s="16"/>
      <c r="J22" s="16"/>
      <c r="K22" s="16"/>
      <c r="L22" s="16"/>
      <c r="M22" s="16"/>
      <c r="N22" s="16"/>
      <c r="O22" s="16"/>
    </row>
    <row r="23" spans="1:15" x14ac:dyDescent="0.35">
      <c r="A23" s="16"/>
      <c r="B23" s="16"/>
      <c r="C23" s="8" t="s">
        <v>17</v>
      </c>
      <c r="D23" s="12">
        <v>1023</v>
      </c>
      <c r="E23" s="12">
        <v>64</v>
      </c>
      <c r="F23" s="12">
        <v>45365.2</v>
      </c>
      <c r="G23" s="12">
        <v>76</v>
      </c>
      <c r="H23" s="16"/>
      <c r="I23" s="16"/>
      <c r="J23" s="16"/>
      <c r="K23" s="16"/>
      <c r="L23" s="16"/>
      <c r="M23" s="16"/>
      <c r="N23" s="16"/>
      <c r="O23" s="16"/>
    </row>
    <row r="24" spans="1:15" x14ac:dyDescent="0.35">
      <c r="A24" s="16"/>
      <c r="B24" s="16"/>
      <c r="C24" s="8" t="s">
        <v>5</v>
      </c>
      <c r="D24" s="12">
        <v>977</v>
      </c>
      <c r="E24" s="12">
        <v>55</v>
      </c>
      <c r="F24" s="12">
        <v>12143.710000000001</v>
      </c>
      <c r="G24" s="12">
        <v>166</v>
      </c>
      <c r="H24" s="16"/>
      <c r="I24" s="16"/>
      <c r="J24" s="16"/>
      <c r="K24" s="16"/>
      <c r="L24" s="16"/>
      <c r="M24" s="16"/>
      <c r="N24" s="16"/>
      <c r="O24" s="16"/>
    </row>
    <row r="25" spans="1:15" x14ac:dyDescent="0.35">
      <c r="A25" s="16"/>
      <c r="B25" s="16"/>
      <c r="C25" s="8" t="s">
        <v>15</v>
      </c>
      <c r="D25" s="12">
        <v>747</v>
      </c>
      <c r="E25" s="12">
        <v>31</v>
      </c>
      <c r="F25" s="12">
        <v>7844.18</v>
      </c>
      <c r="G25" s="12">
        <v>97</v>
      </c>
      <c r="H25" s="16"/>
      <c r="I25" s="16"/>
      <c r="J25" s="16"/>
      <c r="K25" s="16"/>
      <c r="L25" s="16"/>
      <c r="M25" s="16"/>
      <c r="N25" s="16"/>
      <c r="O25" s="16"/>
    </row>
    <row r="26" spans="1:15" x14ac:dyDescent="0.35">
      <c r="A26" s="16"/>
      <c r="B26" s="16"/>
      <c r="C26" s="8" t="s">
        <v>27</v>
      </c>
      <c r="D26" s="12">
        <v>453</v>
      </c>
      <c r="E26" s="12">
        <v>92</v>
      </c>
      <c r="F26" s="12">
        <v>50524.4</v>
      </c>
      <c r="G26" s="12">
        <v>184</v>
      </c>
      <c r="H26" s="16"/>
      <c r="I26" s="16"/>
      <c r="J26" s="16"/>
      <c r="K26" s="16"/>
      <c r="L26" s="16"/>
      <c r="M26" s="16"/>
      <c r="N26" s="16"/>
      <c r="O26" s="16"/>
    </row>
    <row r="27" spans="1:15" x14ac:dyDescent="0.35">
      <c r="A27" s="16"/>
      <c r="B27" s="16"/>
      <c r="C27" s="8" t="s">
        <v>9</v>
      </c>
      <c r="D27" s="12">
        <v>367</v>
      </c>
      <c r="E27" s="12">
        <v>103</v>
      </c>
      <c r="F27" s="12">
        <v>14209.390000000001</v>
      </c>
      <c r="G27" s="12">
        <v>217</v>
      </c>
      <c r="H27" s="16"/>
      <c r="I27" s="16"/>
      <c r="J27" s="16"/>
      <c r="K27" s="16"/>
      <c r="L27" s="16"/>
      <c r="M27" s="16"/>
      <c r="N27" s="16"/>
      <c r="O27" s="16"/>
    </row>
    <row r="28" spans="1:15" x14ac:dyDescent="0.35">
      <c r="A28" s="16"/>
      <c r="B28" s="16"/>
      <c r="C28" s="8" t="s">
        <v>13</v>
      </c>
      <c r="D28" s="12">
        <v>882</v>
      </c>
      <c r="E28" s="12">
        <v>30</v>
      </c>
      <c r="F28" s="12">
        <v>4278.2</v>
      </c>
      <c r="G28" s="12">
        <v>225</v>
      </c>
      <c r="H28" s="16"/>
      <c r="I28" s="16"/>
      <c r="J28" s="16"/>
      <c r="K28" s="16"/>
      <c r="L28" s="16"/>
      <c r="M28" s="16"/>
      <c r="N28" s="16"/>
      <c r="O28" s="16"/>
    </row>
    <row r="29" spans="1:15" x14ac:dyDescent="0.35">
      <c r="A29" s="16"/>
      <c r="B29" s="16"/>
      <c r="C29" s="8" t="s">
        <v>12</v>
      </c>
      <c r="D29" s="12">
        <v>420</v>
      </c>
      <c r="E29" s="12">
        <v>59</v>
      </c>
      <c r="F29" s="12">
        <v>44146.13</v>
      </c>
      <c r="G29" s="12">
        <v>74</v>
      </c>
      <c r="H29" s="16"/>
      <c r="I29" s="16"/>
      <c r="J29" s="16"/>
      <c r="K29" s="16"/>
      <c r="L29" s="16"/>
      <c r="M29" s="16"/>
      <c r="N29" s="16"/>
      <c r="O29" s="16"/>
    </row>
    <row r="30" spans="1:15" x14ac:dyDescent="0.35">
      <c r="A30" s="16"/>
      <c r="B30" s="16"/>
      <c r="C30" s="8" t="s">
        <v>7</v>
      </c>
      <c r="D30" s="12">
        <v>924</v>
      </c>
      <c r="E30" s="12">
        <v>30</v>
      </c>
      <c r="F30" s="12">
        <v>29842.950000000004</v>
      </c>
      <c r="G30" s="12">
        <v>218</v>
      </c>
      <c r="H30" s="16"/>
      <c r="I30" s="16"/>
      <c r="J30" s="16"/>
      <c r="K30" s="16"/>
      <c r="L30" s="16"/>
      <c r="M30" s="16"/>
      <c r="N30" s="16"/>
      <c r="O30" s="16"/>
    </row>
    <row r="31" spans="1:15" x14ac:dyDescent="0.35">
      <c r="A31" s="21"/>
      <c r="B31" s="16"/>
      <c r="C31" s="8" t="s">
        <v>20</v>
      </c>
      <c r="D31" s="12">
        <v>831</v>
      </c>
      <c r="E31" s="12">
        <v>4</v>
      </c>
      <c r="F31" s="12">
        <v>14526.439999999999</v>
      </c>
      <c r="G31" s="12">
        <v>154</v>
      </c>
      <c r="H31" s="16"/>
      <c r="I31" s="16"/>
      <c r="J31" s="16"/>
      <c r="K31" s="16"/>
      <c r="L31" s="16"/>
      <c r="M31" s="16"/>
      <c r="N31" s="16"/>
      <c r="O31" s="16"/>
    </row>
    <row r="32" spans="1:15" x14ac:dyDescent="0.35">
      <c r="A32" s="16"/>
      <c r="B32" s="16"/>
      <c r="C32" s="8" t="s">
        <v>19</v>
      </c>
      <c r="D32" s="12">
        <v>1087</v>
      </c>
      <c r="E32" s="12">
        <v>54</v>
      </c>
      <c r="F32" s="12">
        <v>5002.7100000000009</v>
      </c>
      <c r="G32" s="12">
        <v>212</v>
      </c>
      <c r="H32" s="16"/>
      <c r="I32" s="16"/>
      <c r="J32" s="16"/>
      <c r="K32" s="16"/>
      <c r="L32" s="16"/>
      <c r="M32" s="16"/>
      <c r="N32" s="16"/>
      <c r="O32" s="16"/>
    </row>
    <row r="33" spans="1:15" x14ac:dyDescent="0.35">
      <c r="A33" s="16"/>
      <c r="B33" s="16"/>
      <c r="C33" s="19" t="s">
        <v>50</v>
      </c>
      <c r="D33" s="18">
        <v>18300</v>
      </c>
      <c r="E33" s="18">
        <v>1309</v>
      </c>
      <c r="F33" s="18">
        <v>706194.8899999999</v>
      </c>
      <c r="G33" s="12">
        <v>3619</v>
      </c>
      <c r="H33" s="16"/>
      <c r="I33" s="16"/>
      <c r="J33" s="16"/>
      <c r="K33" s="16"/>
      <c r="L33" s="16"/>
      <c r="M33" s="16"/>
      <c r="N33" s="16"/>
      <c r="O33" s="16"/>
    </row>
    <row r="34" spans="1:15" x14ac:dyDescent="0.35">
      <c r="A34" s="20"/>
      <c r="B34" s="20"/>
      <c r="C34" s="17"/>
      <c r="D34" s="17"/>
      <c r="E34" s="20"/>
      <c r="F34" s="20"/>
      <c r="G34" s="20"/>
      <c r="H34" s="20"/>
      <c r="I34" s="20"/>
      <c r="J34" s="20"/>
      <c r="K34" s="20"/>
      <c r="L34" s="20"/>
      <c r="M34" s="20"/>
      <c r="N34" s="20"/>
      <c r="O34" s="20"/>
    </row>
    <row r="35" spans="1:15" x14ac:dyDescent="0.35">
      <c r="A35" s="20"/>
      <c r="B35" s="20"/>
      <c r="C35" s="17"/>
      <c r="D35" s="17"/>
      <c r="E35" s="20"/>
      <c r="F35" s="20"/>
      <c r="G35" s="20"/>
      <c r="H35" s="20"/>
      <c r="I35" s="20"/>
      <c r="J35" s="20"/>
      <c r="K35" s="20"/>
      <c r="L35" s="20"/>
      <c r="M35" s="20"/>
      <c r="N35" s="20"/>
      <c r="O35" s="20"/>
    </row>
  </sheetData>
  <conditionalFormatting pivot="1" sqref="D7:D32">
    <cfRule type="dataBar" priority="4">
      <dataBar>
        <cfvo type="min"/>
        <cfvo type="max"/>
        <color rgb="FF63C384"/>
      </dataBar>
      <extLst>
        <ext xmlns:x14="http://schemas.microsoft.com/office/spreadsheetml/2009/9/main" uri="{B025F937-C7B1-47D3-B67F-A62EFF666E3E}">
          <x14:id>{653897FE-14F6-47F1-AAEB-31125D5EE0BC}</x14:id>
        </ext>
      </extLst>
    </cfRule>
  </conditionalFormatting>
  <conditionalFormatting pivot="1" sqref="E7:E32">
    <cfRule type="dataBar" priority="3">
      <dataBar>
        <cfvo type="min"/>
        <cfvo type="max"/>
        <color rgb="FF638EC6"/>
      </dataBar>
      <extLst>
        <ext xmlns:x14="http://schemas.microsoft.com/office/spreadsheetml/2009/9/main" uri="{B025F937-C7B1-47D3-B67F-A62EFF666E3E}">
          <x14:id>{956F3D37-CE08-494F-AE00-04BE42C7C675}</x14:id>
        </ext>
      </extLst>
    </cfRule>
  </conditionalFormatting>
  <conditionalFormatting pivot="1" sqref="F7:F32">
    <cfRule type="dataBar" priority="2">
      <dataBar>
        <cfvo type="min"/>
        <cfvo type="max"/>
        <color rgb="FFFFB628"/>
      </dataBar>
      <extLst>
        <ext xmlns:x14="http://schemas.microsoft.com/office/spreadsheetml/2009/9/main" uri="{B025F937-C7B1-47D3-B67F-A62EFF666E3E}">
          <x14:id>{EABD861F-1AF8-41DF-B55F-E1B8BE72BB4B}</x14:id>
        </ext>
      </extLst>
    </cfRule>
  </conditionalFormatting>
  <conditionalFormatting pivot="1" sqref="G7:G32">
    <cfRule type="dataBar" priority="1">
      <dataBar>
        <cfvo type="min"/>
        <cfvo type="max"/>
        <color rgb="FF638EC6"/>
      </dataBar>
      <extLst>
        <ext xmlns:x14="http://schemas.microsoft.com/office/spreadsheetml/2009/9/main" uri="{B025F937-C7B1-47D3-B67F-A62EFF666E3E}">
          <x14:id>{DBFFC92B-D4B9-43B2-9638-03F2AF7A35D4}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53897FE-14F6-47F1-AAEB-31125D5EE0BC}">
            <x14:dataBar minLength="0" maxLength="100" border="1" negativeBarBorderColorSameAsPositive="0">
              <x14:cfvo type="autoMin"/>
              <x14:cfvo type="autoMax"/>
              <x14:borderColor rgb="FF63C384"/>
              <x14:negativeFillColor rgb="FFFF0000"/>
              <x14:negativeBorderColor rgb="FFFF0000"/>
              <x14:axisColor rgb="FF000000"/>
            </x14:dataBar>
          </x14:cfRule>
          <xm:sqref>D7:D32</xm:sqref>
        </x14:conditionalFormatting>
        <x14:conditionalFormatting xmlns:xm="http://schemas.microsoft.com/office/excel/2006/main" pivot="1">
          <x14:cfRule type="dataBar" id="{956F3D37-CE08-494F-AE00-04BE42C7C675}">
            <x14:dataBar minLength="0" maxLength="100" border="1" negativeBarBorderColorSameAsPositive="0">
              <x14:cfvo type="autoMin"/>
              <x14:cfvo type="autoMax"/>
              <x14:borderColor rgb="FF638EC6"/>
              <x14:negativeFillColor rgb="FFFF0000"/>
              <x14:negativeBorderColor rgb="FFFF0000"/>
              <x14:axisColor rgb="FF000000"/>
            </x14:dataBar>
          </x14:cfRule>
          <xm:sqref>E7:E32</xm:sqref>
        </x14:conditionalFormatting>
        <x14:conditionalFormatting xmlns:xm="http://schemas.microsoft.com/office/excel/2006/main" pivot="1">
          <x14:cfRule type="dataBar" id="{EABD861F-1AF8-41DF-B55F-E1B8BE72BB4B}">
            <x14:dataBar minLength="0" maxLength="100" border="1" negativeBarBorderColorSameAsPositive="0">
              <x14:cfvo type="autoMin"/>
              <x14:cfvo type="autoMax"/>
              <x14:borderColor rgb="FFFFB628"/>
              <x14:negativeFillColor rgb="FFFF0000"/>
              <x14:negativeBorderColor rgb="FFFF0000"/>
              <x14:axisColor rgb="FF000000"/>
            </x14:dataBar>
          </x14:cfRule>
          <xm:sqref>F7:F32</xm:sqref>
        </x14:conditionalFormatting>
        <x14:conditionalFormatting xmlns:xm="http://schemas.microsoft.com/office/excel/2006/main" pivot="1">
          <x14:cfRule type="dataBar" id="{DBFFC92B-D4B9-43B2-9638-03F2AF7A35D4}">
            <x14:dataBar minLength="0" maxLength="100" border="1" negativeBarBorderColorSameAsPositive="0">
              <x14:cfvo type="autoMin"/>
              <x14:cfvo type="autoMax"/>
              <x14:borderColor rgb="FF638EC6"/>
              <x14:negativeFillColor rgb="FFFF0000"/>
              <x14:negativeBorderColor rgb="FFFF0000"/>
              <x14:axisColor rgb="FF000000"/>
            </x14:dataBar>
          </x14:cfRule>
          <xm:sqref>G7:G32</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Mamun Ashraf</cp:lastModifiedBy>
  <dcterms:created xsi:type="dcterms:W3CDTF">2015-06-05T18:17:20Z</dcterms:created>
  <dcterms:modified xsi:type="dcterms:W3CDTF">2026-01-12T07:07:59Z</dcterms:modified>
</cp:coreProperties>
</file>