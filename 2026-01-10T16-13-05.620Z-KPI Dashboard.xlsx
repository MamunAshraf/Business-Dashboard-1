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0bb4b85cacdedfec/Desktop/"/>
    </mc:Choice>
  </mc:AlternateContent>
  <xr:revisionPtr revIDLastSave="272" documentId="8_{268D00F2-19E4-4D6E-9599-4A9E63CC291C}" xr6:coauthVersionLast="47" xr6:coauthVersionMax="47" xr10:uidLastSave="{453FA166-4AD3-47CC-903B-CE684707E312}"/>
  <bookViews>
    <workbookView xWindow="-110" yWindow="-110" windowWidth="22780" windowHeight="14540" xr2:uid="{6705D50B-5426-451C-BAC5-1EEC7FE65065}"/>
  </bookViews>
  <sheets>
    <sheet name="Dashboard" sheetId="3" r:id="rId1"/>
    <sheet name="Calculation" sheetId="2" r:id="rId2"/>
    <sheet name="Raw Data" sheetId="1" r:id="rId3"/>
  </sheets>
  <definedNames>
    <definedName name="_xlchart.v5.0" hidden="1">Calculation!$D$11</definedName>
    <definedName name="_xlchart.v5.1" hidden="1">Calculation!$D$12:$D$16</definedName>
    <definedName name="_xlchart.v5.10" hidden="1">Calculation!$E$11</definedName>
    <definedName name="_xlchart.v5.11" hidden="1">Calculation!$E$12:$E$16</definedName>
    <definedName name="_xlchart.v5.12" hidden="1">Calculation!$D$11</definedName>
    <definedName name="_xlchart.v5.13" hidden="1">Calculation!$D$12:$D$16</definedName>
    <definedName name="_xlchart.v5.14" hidden="1">Calculation!$E$11</definedName>
    <definedName name="_xlchart.v5.15" hidden="1">Calculation!$E$12:$E$16</definedName>
    <definedName name="_xlchart.v5.2" hidden="1">Calculation!$E$11</definedName>
    <definedName name="_xlchart.v5.3" hidden="1">Calculation!$E$12:$E$16</definedName>
    <definedName name="_xlchart.v5.4" hidden="1">Calculation!$D$11</definedName>
    <definedName name="_xlchart.v5.5" hidden="1">Calculation!$D$12:$D$16</definedName>
    <definedName name="_xlchart.v5.6" hidden="1">Calculation!$E$11</definedName>
    <definedName name="_xlchart.v5.7" hidden="1">Calculation!$E$12:$E$16</definedName>
    <definedName name="_xlchart.v5.8" hidden="1">Calculation!$D$11</definedName>
    <definedName name="_xlchart.v5.9" hidden="1">Calculation!$D$12:$D$16</definedName>
    <definedName name="Slicer_Name">#N/A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c r="E13" i="2"/>
  <c r="D14" i="2"/>
  <c r="E14" i="2"/>
  <c r="D15" i="2"/>
  <c r="E15" i="2"/>
  <c r="D16" i="2"/>
  <c r="E16" i="2"/>
  <c r="E12" i="2"/>
  <c r="D12" i="2"/>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alcChain>
</file>

<file path=xl/sharedStrings.xml><?xml version="1.0" encoding="utf-8"?>
<sst xmlns="http://schemas.openxmlformats.org/spreadsheetml/2006/main" count="700" uniqueCount="67">
  <si>
    <t>Name</t>
  </si>
  <si>
    <t>Region</t>
  </si>
  <si>
    <t>Date</t>
  </si>
  <si>
    <t>Total Calls</t>
  </si>
  <si>
    <t>Calls Reached</t>
  </si>
  <si>
    <t>Average Duration (sec)</t>
  </si>
  <si>
    <t>Deals Closed</t>
  </si>
  <si>
    <t>Call Conversion Rate (%)</t>
  </si>
  <si>
    <t>Deal Value ($)</t>
  </si>
  <si>
    <t>Service Level</t>
  </si>
  <si>
    <t>Call Drop Rate (%)</t>
  </si>
  <si>
    <t>Evan</t>
  </si>
  <si>
    <t>Dhaka</t>
  </si>
  <si>
    <t>Alice</t>
  </si>
  <si>
    <t>Diana</t>
  </si>
  <si>
    <t>Jake</t>
  </si>
  <si>
    <t>Liam</t>
  </si>
  <si>
    <t>Bob</t>
  </si>
  <si>
    <t>Rick</t>
  </si>
  <si>
    <t>Charlie</t>
  </si>
  <si>
    <t>Molly</t>
  </si>
  <si>
    <t>Chris</t>
  </si>
  <si>
    <t>James</t>
  </si>
  <si>
    <t>Richard</t>
  </si>
  <si>
    <t>Paul</t>
  </si>
  <si>
    <t>Ian</t>
  </si>
  <si>
    <t>Melissa</t>
  </si>
  <si>
    <t>Alex</t>
  </si>
  <si>
    <t>Karol</t>
  </si>
  <si>
    <t>Darren</t>
  </si>
  <si>
    <t>Will</t>
  </si>
  <si>
    <t>Vicky</t>
  </si>
  <si>
    <t>Grace</t>
  </si>
  <si>
    <t>Emma</t>
  </si>
  <si>
    <t>Josh</t>
  </si>
  <si>
    <t>Craig</t>
  </si>
  <si>
    <t>Rangpur</t>
  </si>
  <si>
    <t>David</t>
  </si>
  <si>
    <t>Mimi</t>
  </si>
  <si>
    <t>Sylhet</t>
  </si>
  <si>
    <t>Chittagong</t>
  </si>
  <si>
    <t>Barisal</t>
  </si>
  <si>
    <t>Row Labels</t>
  </si>
  <si>
    <t>Grand Total</t>
  </si>
  <si>
    <t>Values</t>
  </si>
  <si>
    <t xml:space="preserve"> Total Calls</t>
  </si>
  <si>
    <t xml:space="preserve"> Calls Reached</t>
  </si>
  <si>
    <t xml:space="preserve"> Deals Closed</t>
  </si>
  <si>
    <t xml:space="preserve"> Deal Value ($)</t>
  </si>
  <si>
    <t>Average of Service Level</t>
  </si>
  <si>
    <t>Jan</t>
  </si>
  <si>
    <t>Feb</t>
  </si>
  <si>
    <t>Mar</t>
  </si>
  <si>
    <t>Apr</t>
  </si>
  <si>
    <t>May</t>
  </si>
  <si>
    <t>Jun</t>
  </si>
  <si>
    <t>Jul</t>
  </si>
  <si>
    <t>Aug</t>
  </si>
  <si>
    <t>Sep</t>
  </si>
  <si>
    <t>Oct</t>
  </si>
  <si>
    <t>Nov</t>
  </si>
  <si>
    <t>Dec</t>
  </si>
  <si>
    <t>Color Code</t>
  </si>
  <si>
    <t>#F2EFF5</t>
  </si>
  <si>
    <t>Sales Dashboard</t>
  </si>
  <si>
    <t>Evaluation Sales KPI</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</si>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</sst>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6" formatCode="_(* #,##0_);_(* \(#,##0\);_(* &quot;-&quot;??_);_(@_)"/>
  </numFmts>
  <fonts count="4" x14ac:knownFonts="1">
    <font>
      <sz val="11"/>
      <color theme="1"/>
      <name val="Aptos Narrow"/>
      <family val="2"/>
      <scheme val="minor"/>
    </font>
    <font>
      <sz val="11"/>
      <color theme="1"/>
      <name val="Aptos Narrow"/>
      <family val="2"/>
      <scheme val="minor"/>
    </font>
    <font>
      <b/>
      <sz val="18"/>
      <color theme="0"/>
      <name val="Aptos Narrow"/>
      <family val="2"/>
      <scheme val="minor"/>
    </font>
    <font>
      <sz val="11"/>
      <color theme="0" tint="-4.9989318521683403E-2"/>
      <name val="Aptos Narrow"/>
      <family val="2"/>
      <scheme val="minor"/>
    </font>
  </fonts>
  <fills count="5">
    <fill>
      <patternFill patternType="none"/>
    </fill>
    <fill>
      <patternFill patternType="gray125"/>
    </fill>
    <fill>
      <patternFill patternType="solid">
        <fgColor rgb="FFF2EFF5"/>
        <bgColor indexed="64"/>
      </patternFill>
    </fill>
    <fill>
      <patternFill patternType="solid">
        <fgColor theme="8" tint="0.39997558519241921"/>
        <bgColor indexed="64"/>
      </patternFill>
    </fill>
    <fill>
      <patternFill patternType="solid">
        <fgColor theme="0" tint="-0.14999847407452621"/>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9" fontId="0" fillId="0" borderId="0" xfId="2" applyFont="1"/>
    <xf numFmtId="0" fontId="0" fillId="0" borderId="0" xfId="0" applyAlignment="1">
      <alignment vertical="center" wrapText="1"/>
    </xf>
    <xf numFmtId="14" fontId="0" fillId="0" borderId="0" xfId="0" applyNumberFormat="1" applyAlignment="1">
      <alignment vertical="center" wrapText="1"/>
    </xf>
    <xf numFmtId="9" fontId="0" fillId="0" borderId="0" xfId="2" applyFont="1" applyAlignment="1">
      <alignment vertical="center" wrapText="1"/>
    </xf>
    <xf numFmtId="0" fontId="0" fillId="0" borderId="0" xfId="0" pivotButton="1"/>
    <xf numFmtId="0" fontId="0" fillId="0" borderId="0" xfId="0" applyAlignment="1">
      <alignment horizontal="left"/>
    </xf>
    <xf numFmtId="43" fontId="0" fillId="0" borderId="0" xfId="0" applyNumberFormat="1"/>
    <xf numFmtId="166" fontId="0" fillId="0" borderId="0" xfId="0" applyNumberFormat="1"/>
    <xf numFmtId="2" fontId="0" fillId="0" borderId="0" xfId="0" applyNumberFormat="1"/>
    <xf numFmtId="2" fontId="0" fillId="0" borderId="0" xfId="1" applyNumberFormat="1" applyFont="1"/>
    <xf numFmtId="0" fontId="0" fillId="2" borderId="0" xfId="0" applyFill="1"/>
    <xf numFmtId="0" fontId="0" fillId="3" borderId="0" xfId="0" applyFill="1"/>
    <xf numFmtId="0" fontId="2" fillId="3" borderId="0" xfId="0" applyFont="1" applyFill="1"/>
    <xf numFmtId="0" fontId="3" fillId="3" borderId="0" xfId="0" applyFont="1" applyFill="1"/>
    <xf numFmtId="0" fontId="0" fillId="4" borderId="0" xfId="0" applyFill="1"/>
  </cellXfs>
  <cellStyles count="3">
    <cellStyle name="Comma" xfId="1" builtinId="3"/>
    <cellStyle name="Normal" xfId="0" builtinId="0"/>
    <cellStyle name="Percent" xfId="2" builtinId="5"/>
  </cellStyles>
  <dxfs count="113">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fill>
        <patternFill patternType="solid">
          <bgColor theme="0" tint="-0.14999847407452621"/>
        </patternFill>
      </fill>
    </dxf>
    <dxf>
      <fill>
        <patternFill patternType="solid">
          <bgColor theme="0" tint="-0.14999847407452621"/>
        </patternFill>
      </fill>
    </dxf>
    <dxf>
      <numFmt numFmtId="166" formatCode="_(* #,##0_);_(* \(#,##0\);_(* &quot;-&quot;??_);_(@_)"/>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35" formatCode="_(* #,##0.00_);_(* \(#,##0.00\);_(* &quot;-&quot;??_);_(@_)"/>
    </dxf>
    <dxf>
      <numFmt numFmtId="166" formatCode="_(* #,##0_);_(* \(#,##0\);_(* &quot;-&quot;??_);_(@_)"/>
    </dxf>
    <dxf>
      <numFmt numFmtId="166" formatCode="_(* #,##0_);_(* \(#,##0\);_(* &quot;-&quot;??_);_(@_)"/>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64" formatCode="d/mm/yyyy"/>
    </dxf>
  </dxfs>
  <tableStyles count="0" defaultTableStyle="TableStyleMedium2" defaultPivotStyle="PivotStyleLight16"/>
  <colors>
    <mruColors>
      <color rgb="FFF2EF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Dashboard.xlsx]Calculation!PivotTable3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Deals</a:t>
            </a:r>
            <a:r>
              <a:rPr lang="en-US" sz="1200" baseline="0"/>
              <a:t> Value By Month</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Calculation!$B$23</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Calculation!$B$24:$B$36</c:f>
              <c:numCache>
                <c:formatCode>_(* #,##0_);_(* \(#,##0\);_(* "-"??_);_(@_)</c:formatCode>
                <c:ptCount val="12"/>
                <c:pt idx="0">
                  <c:v>57863.17</c:v>
                </c:pt>
                <c:pt idx="1">
                  <c:v>59230.42</c:v>
                </c:pt>
                <c:pt idx="2">
                  <c:v>60127</c:v>
                </c:pt>
                <c:pt idx="3">
                  <c:v>58604.41</c:v>
                </c:pt>
                <c:pt idx="4">
                  <c:v>58564.01999999999</c:v>
                </c:pt>
                <c:pt idx="5">
                  <c:v>58260.729999999996</c:v>
                </c:pt>
                <c:pt idx="6">
                  <c:v>58845.83</c:v>
                </c:pt>
                <c:pt idx="7">
                  <c:v>58668.120000000017</c:v>
                </c:pt>
                <c:pt idx="8">
                  <c:v>59025.210000000006</c:v>
                </c:pt>
                <c:pt idx="9">
                  <c:v>58653.95</c:v>
                </c:pt>
                <c:pt idx="10">
                  <c:v>59136.610000000008</c:v>
                </c:pt>
                <c:pt idx="11">
                  <c:v>59215.419999999984</c:v>
                </c:pt>
              </c:numCache>
            </c:numRef>
          </c:val>
          <c:extLst>
            <c:ext xmlns:c16="http://schemas.microsoft.com/office/drawing/2014/chart" uri="{C3380CC4-5D6E-409C-BE32-E72D297353CC}">
              <c16:uniqueId val="{00000000-BCC2-4DF1-9BC8-E1BC835EF188}"/>
            </c:ext>
          </c:extLst>
        </c:ser>
        <c:dLbls>
          <c:showLegendKey val="0"/>
          <c:showVal val="0"/>
          <c:showCatName val="0"/>
          <c:showSerName val="0"/>
          <c:showPercent val="0"/>
          <c:showBubbleSize val="0"/>
        </c:dLbls>
        <c:gapWidth val="34"/>
        <c:overlap val="5"/>
        <c:axId val="722199823"/>
        <c:axId val="722183983"/>
      </c:barChart>
      <c:catAx>
        <c:axId val="72219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183983"/>
        <c:crosses val="autoZero"/>
        <c:auto val="1"/>
        <c:lblAlgn val="ctr"/>
        <c:lblOffset val="100"/>
        <c:noMultiLvlLbl val="0"/>
      </c:catAx>
      <c:valAx>
        <c:axId val="722183983"/>
        <c:scaling>
          <c:orientation val="minMax"/>
        </c:scaling>
        <c:delete val="1"/>
        <c:axPos val="b"/>
        <c:numFmt formatCode="_(* #,##0_);_(* \(#,##0\);_(* &quot;-&quot;??_);_(@_)" sourceLinked="1"/>
        <c:majorTickMark val="none"/>
        <c:minorTickMark val="none"/>
        <c:tickLblPos val="nextTo"/>
        <c:crossAx val="72219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Service Level by Division</cx:v>
        </cx:txData>
      </cx:tx>
      <cx:txPr>
        <a:bodyPr spcFirstLastPara="1" vertOverflow="ellipsis" horzOverflow="overflow" wrap="square" lIns="0" tIns="0" rIns="0" bIns="0" anchor="ctr" anchorCtr="1"/>
        <a:lstStyle/>
        <a:p>
          <a:pPr algn="ctr" rtl="0">
            <a:defRPr/>
          </a:pPr>
          <a:r>
            <a:rPr lang="en-US" sz="1100" b="0" i="0" u="none" strike="noStrike" baseline="0">
              <a:solidFill>
                <a:sysClr val="windowText" lastClr="000000">
                  <a:lumMod val="65000"/>
                  <a:lumOff val="35000"/>
                </a:sysClr>
              </a:solidFill>
              <a:latin typeface="Aptos Narrow" panose="02110004020202020204"/>
            </a:rPr>
            <a:t>Service Level by Division</a:t>
          </a:r>
        </a:p>
      </cx:txPr>
    </cx:title>
    <cx:plotArea>
      <cx:plotAreaRegion>
        <cx:series layoutId="regionMap" uniqueId="{45AA93C0-7165-43E3-B397-56097E06DDB8}">
          <cx:dataLabels/>
          <cx:dataId val="0"/>
          <cx:layoutPr>
            <cx:geography cultureLanguage="en-US" cultureRegion="US" attribution="Powered by Bing">
              <cx:geoCache provider="{E9337A44-BEBE-4D9F-B70C-5C5E7DAFC167}">
                <cx:binary>1HrJkt04luWvhMW6oSBmsKyyFiDf5KN81LCh+SSCJAgOAMdd/Vt/WF+XQtmSh5erwyytzVILyeV8
fBe40zn3AP/5MP/Hg32663+ba+v8fzzM//jdhND+xx9/+AfzVN/5d3Xx0De++RLePTT1H82XL8XD
0x+P/d1UuPwPEmH2x4O568PT/Pt//Sd8W/7UnDQPd6Fo3MXw1C+XT36wwb/x7NVHv9091oVLCx/6
4iHgf/yu7/rC39nff3tyoQjL9dI+/eP3nz70+29/vPyqv5j9zcLKwvAI7xLyjlEuBCU4/vbn999s
4/I/H8fRO0KpIJL++Vh+N312V8PrX9fzv//7zQV9Xc7d42P/5D1s6Ou/P7750/J/fPDQDC48+y4H
Nz4/cLm9e3zy5vffCt8k354mzfM2dPp133/87Pr/+s8XvwBPvPjND9F56bZfPfpLcBJThHCXg/e+
O+lfEx+JqRTs9fjgd0oRypmk36L3Ij6JuQuhyfu7+q0lvR6hH999EaMfH/27RSk1d9XdW974mwXE
3kVSSCVj/rJyMMGcx5hFX/+Q7za/Vc4vl/F6UP587UU8/vztv1sorhZrnsJ3v/wLioW9k5iTKPof
i0UIgRVl8ltIXhTLr5fzeky+v/ciKN9//e8WlUvos+3Q/wvDwt8pSsHlWL6GMSr+bupbZfxp/7e0
GAsPnf/709fy4/WA/PUbXoTmrx/4FwTpZ+z5EWNh/zwmhH0HUdjwDxir4nc4IpRw9menwN93/O/t
jxdI+6/F3jfi9SM1+uljf5ca0XdKMhrF/E9s/Tlsz9SIAzNSsfqW1ernsOkf6Mr/vKTXE/jHd3/a
wv8PFvQibj/QoH8SyfQu3G2+MtD/56dfNwq0+MWrPxHZn7b63ZuHR2Cp9IfYPX/Dn699J6H/lxh+
8/T3d57ufPjH7zF5JyQVIoJgURJRDFA8PT0/UepdRJRiQrJIEiK4+P031/TBgEnxTpCYQPSxYpQI
DGDhm+Hro+gdlyyOleKA75Ei/+T87xu7AP/7p5/+/P9vbqjfN4UL/h+/g4X226eeFymZgOSBrwcG
hwUs5Hlt7cPdJYwV8GH8v+qcLMKguNivZcO2fl7KXW6oTMTq7C6nFdv+4JpX7MGyf7IH0Ecjzjgw
FoWpil/YcxRXfnQu3y+ZmhOGfXbNRlMflnUsTxdlohNibabfNgpU6C9GcSQwYK9SMcMQzh83Sbya
hrFh+T50HJ14W5kUO0E1gh9/sT8oypemGHRTTiiLYHIRUJU/mnJjv6ytIMV+GeryJF4ZSk0UM51F
VbXtMWe6CNLvvv5kVDTdvL3TF+YVbFJFhAPWKYxjiOjP5nnF1sly1e+rMAx6sjXdhmZF74nxaNFd
069aBcPOykJ1944qv3vbPn7halgAoZhjJpmEoQHy+ucFVNPIs0Hgbp8Nz0GuZnIzeFR8rsaiTs1S
rJPOesOOW9Klue2GXVc7HpJ8JqJIxuDxlRTDvFN4mD5OC7X5t8nrG/i9kn8v8v3r+ggMzDEjHIbO
6MX6iobDaGqjbt8pM2hbuzH1fBZ7Zcd5E3KH3v/CIYCePybEs0HFI4W5hIKNGH+R8KgPKoxh8Hu0
glnN8ECwhp0JtYmyhl2apisvy75Kq8hkm1qRkOlqkMvJ3FRV2Ly9GvKi/BQHQKFfGw6mGLOX5VcP
sunRkFX7kXi26rbP40aPkvijjmA5a9qb8mRs4+ZjMbSPAnrKzk9i3Xi7sFIPmTKXdM2iz6whfaHp
3Od94mjBbvMwtId+MXOr81biMZkDVo2eFBRcA/3lpHYdOtRGTTYhuSXbbGyyU4nr6PPbW6TPEfyh
o33dYkwYhig/1+HLCmxDwNALi3rP20lhvbrO0xTUlvnG9qJKGtnOt03clZFeBhyfRbattp2t85N+
YH5XZTwcmjrz9yPm6P0aZntl+RB9nuNF7JextFdlhdtPquHZQfqhfKTYhqRZA7kbVhTnenZhipKO
jPSWeR/12rvVn071OG66PLZXb2/3uaD/slsJCgoWFEdSveg3aJyySiFj9+uwMi0GViV+4Sh528rL
qoG0wREUC8FUxAxA4+eqVrySwwzr2suqzz8iA5mTBX8Y+5U/qSqa/16/fg4hjrjCz42MYkGea+oH
UJKz78zagzlaN/lp1RRHsLA5iek8/qIdvFIPAAzPCAspIyR5bmc/WKpn4nLqvd1PY56f2tjNN6WI
7NWKOn800MJe1dgUl29782WTft4eFkwwaEPQgsgLb1JgdJENrt4HFvL7UE5KbWTVQSWWvMFUSyPo
7RLP7acqWCiinqNfBfRlm35eAodFSNBuYgFI8fO+0SRkOUZVu+8bidKCRw3kzeCKJSG8zk7f3u+r
xmD0ZTE0nSh6CUqkFpUgRrX7pci5rhCAbiatO45z1l2/beq1eAolnlkRTOKxeC6XH+LpVNH5riYt
IH2fnWLi8eng5+kIkU4dMVq5Y0NHsX/b6GvxlAQTASIMQD57YbRTlV35JNp90UXjjrKsuDTdQrtk
ljY7LdcFYlhMZLZ66U3w2uaAOm8v4bV9g0jKJVeSY8letIHVq2wcFW/3zERinxMhDlPIok1T+Is6
R5hrS+yvsO21uMaCE+i0sYikfAFtikoadR6SKC9ZfJahEZBNkq42aSGy8hfE6tmJLxodSJBERgCj
QgJb/TmyLTBFVU2q2XeAWWdF3d+M/pdo/YoRkG8oKAUKMkiRF+ygjmnP19pA+uRzVmrcorjUKPfV
329wJIL6I5g9a0UvPWf9OqIWTe1+Fh27rQrvvW7baE7Girr2F7nxHPsXniPQU4Bbgv4B1OzFpvpm
qsZ5Dv0emArZ1SYuSBpHgOyrUPWxQR16nw3NWCQTEqBc/lPff//NyI/TxWv+BH0/5s+blfhZavmx
HFEJfSjMrt/bSqC0H9k9Kqd587aRV8AJgEIBYsSCkPhlZoy0hMOUKu/3LZL2ihVgIBST3DUwzGhj
Q3h42x5+xaEUpjhMgEkBKpIXxdbwqCy6uG72Udeta8JGycPGyAZKm4VmrJMVVet7LHOXGlRmeZo1
qjhZSO+cHk2hykMDvevUZYW/H0Q/3EPDGpk2U0a3UyHQScZC++ntRb9SqxSWS2RM4khI/txAfmiM
68S6ijjk9jN1bCupy06XyYu94xk6edvUK+2QMhY/ixMxhUn1pXvM0tl1aZt9FibjtrUoy5Oarmoz
ss5fDAEvB0JDyBM+NPxkUnX+9/EGzpRIDDMylLKKX4x7Q7TKCcng9jXLB10H2CFe2vh8KJr47O29
vpYKAopYQeeX8i+TJczH4pmr1HsGlPFodtQfebECNVbRSm9z4mWZqmb1R6j7Jey80vOpAIGfSxzL
v2J4jKJOzpGs9x3i0H5XIA1rPvujPEzF1lfdVOgizn9FXl6pNsC4mAmoaMDzlwPUysxsFpvVexQc
u3XVgt6rde6uFW3KfSnqXyHbs9bysn1RmGRpzCB9Y6CDP2duzgWu7SqafUlpLfbzMmadLgtkvgAI
yBsAxBjpIY6nm7VV2fvYTbHXpmjGUee87L60DNurqSQwBfRukTvUBqrSZTL3nBXA/SseJppA3Rod
VBfTDTXduG864q+hs7Qf3k6YV+qQRdCt+DNBgXPbF8VBReQDc1GzJy1Co26toKnsMvQhlHg8/9u2
ngkBZCaBWMHs+bPnJFGtWkgF5FagPA14Wrdrj/wuftYi/r6pmEIJYCXB5EuFZYm64Bay2P1XxcNH
ck6iTKGUZabcv23qWfl6kRAMRjuQGYDpCApU7+dt1UWOpmjOAFTmHCbqIOgEeoFod7i30WcXyMpT
1vNmPQ92AdI1LEo8RqayVx5Nrkos5Nn7RY3rSZBtfcPWGY8bCEmRmAY192+vljyToJ/RlwH2AtOO
SARgL14EoWOL54sBQaSeXH7cTrS9s9Kik9bPxuupKPL7ITL9deBdPukKZyhperJe5NJ05+XK8sTg
KFz0TaiSWsIs0thhTI0I/kgUo7qYlJt3UTENaZ+J+ngSxfALsoL/OlHDgAnMFjoqyNF/6ae4XRGw
euX2nHSVtkMTt0nJfKa5jWCwh/ZzhpwBBSOYKYlyfL/Ycj287UcMTvvJkyBaAKAQEXEexYRD6F+Q
CeWapS1y3Oxl6JVNyr7LzfnkWI+Tvmw3RYmGcwndSa9hupVlJbnmfRGlfDbFF1I1t3PflF0Ccly4
GmZUQDGUIc2rZt6rpS8THhlxzII9H12forVotc/5Dk38fjKFzsx4DOJN2vvxsjP5nVvMjZDP6UXn
Q17HuyIune5QJbXInEtodRw5m6yVTKJ4SIu43Y+d2TDjzlvcn+Si3Pl2uYnmOhnjz2SOUmT93lXl
xTKNx5OM10Oz2nQ106e+7dIxXs8XEDHKVDhxUKWUuooGkFKWw9p3twq1up1E0nJ14kmR5HF/CEWU
0JJsQui2ZW4Po6+fhgxtorrfMV8eHDcbLsdPNPhEFQDHIF4Y24B+UyWhRBukokLbCu3XqTueeb2P
Jp9vWJ9pH48ujcpAE8/45wE3oAes8TWLsrRy72mOdAV8ZrVzpRvjz4qA871b0cnCzSXr40I76z65
0up5KKH/ZvdUdhfLwhLQuz+CpJG2JNpKflKF7LGoETgxv+6W8WAYOWvlusXdeZ6T41H1n+YFBBYx
gDRlJ91P1Q6V8WapiwQjtcnybDOsy3GP5ipdx05PgR+1rt0V3eXUHvuIfxzFI1vZqInk58oV2355
ZA3yWoE0nYiWHIk2elLDl5XQo8EvGhpqGky+sz3Xq+IHWfKNcP64iOdcL1TdthjXOgaJd536U2Ib
CeyvOsIdvrRD2EtbdJuxya9JJ7aQxRoZpmnkjI66zOmIrklejeDXZTy3g7jJIZ2tLG+G3iehblOR
VYd6Xbde4IeQ2y1Ho0rxnJ3J3unVi5u28o/E9LMuZZdYlLOd5EZTUW7m2n9CEdHxPEe6X6LPvG7O
6DICPc3QjrVnvj+echBpUZzErdOoRAeQfRJD+cnq6W51ALNOHOdBnNI51q6Z5kTg8qjrLdEUBr4x
vpEhSrKSXakZcY2sO43hVlNaVXNIalpqWRQbSvtPrGoe4CzidGzNsWt9GmxstCD1cSGLU96wPsnr
aTPjutDQJm/KtbuKpvoCx/5hxd1uhVkjCdlTD8XV9niDA9T2Q4GrY8artB3L2zL66OIqqaBMinLe
LcV4G3u3R7G/pwAbumBdUnfmi1f+kDVYU9Q8mlGckKxP6x6cMBdpNPYbNI4ssUYdD8twYoZxn4vs
0FR9n8DZQX88lmZraThlgtzETqZzw68tH6keHYfNQgeJO/gOsiutBRvjpQNU1PWQ69BOhyZSKZlq
7Zg6RKDJRoO5XMGBbVcdW+gjgypircpuSsdxbD/RxYR6ZxtD68TPIDvCtNgO3bbP2lNr+CfihJa2
3Dg268W1lwWrukWLUqXdYnWd040XbZi0b6zOFHAPOKfQcVzpKghxZWVRJ93SnNV9ez9Gk71VvtvA
SLHtovhOuvGE9cNl55sLUDOFDCipRzbty5C3sDy5c3TWlQsnblnrJA/QgtCQn7sKBg9dscca4et4
Hc64gQW3+X7l+6HrRsioqklXn2uYE3XRmouoesRNmah2/OhjtPfDfLGEsG1r+bGEtprFXGdL89Cs
QACafM1SLNc+IdTwD3yV+LAQlrU71Ry3fW/P7czdNu6CTKrad17TmmebyHp/nY99Z6Dh5OS8zIHB
J4uX3Zr0K8i3u24KzT03tkRpk4kiDTKeoPRZroe1lEdZXMkbzMKo5QDbW1kTb1A37zOC/WbucBaS
DDX2qrA5elRtRoGllHZ8kn69XCv3JcINSf0i142ZsS6WKh6SVuQEVNVhvYvmHh14GTEdqkaeWYLW
TbOM7TVf+8c4gwqhbRztQVv2tWZwEHUDJWqFptaIA4n9eNoptA47i1d1yKDNnuems3uCltbqyWXo
umuW4uNCOsJ1ExVib/iMvnDi242KAzTDqCqWcMILG18XHc3OnfUWqAtzzYaoXrVJG1q+Da3n6wat
JUvLoS1qnckxnDYWBAYQorPxLu5oFW3HkZtkbqfPvpn5/bKCcR14vXzqZ1YcfNmhYQOqXbUbMmqs
Vr3gGzf58hImOBtAnx8/AY2uH/Ac5gMct9ATW9v2Ns7HQS98CKfCxVmuK1K1EKPJ3NUsu/ISCr62
9QTFtcZsS5hqhC4Rns/9VEtdzjbu9bqsw6hZ7GOa2sI2WxNFPpmXokrJSliimqh5jzrnTwoQMT4U
olrSqM+KIxWy5oCoi7auZup0iWvHoCEG9Ukw1B9W/9x7kAA8ncaPshWVFjUyRyXlj2U/8m0WZrqv
BYXhkKsrNjd3MoR672AouApj1V/zUtK9X0EwGEgzU9309XhWDxGrdB5Rs/FYAJz1HbmH8dlfGFp1
ehlZdQSnOuSQd6K8wQijzQqqw0mUmY2oy+s1G8t0KKZwBEd3vUsEmmzqSrJqgddp08RKbAqfrSZp
qrkDJ4m4MNt+KJdthjuhK1WqXOcGTjZ1HsZh2IRobjtAOwvTvFqikCUq9jaBeWaHA1L3c1dUMHYz
tRXOrEk1ZzxpncFJu6o6rVabnwxrF6VSmvHUGEqDXgs7prmI8WFd8SL10kXqmDKCElewQeORq8/j
VAJvd2pIXTsMPoEcx4caSCDS0HzRrVrMaViz9UM/L+1ungv8VHTGfclynt+gSDT3a3eRIUlg5AMS
vcPxkG+zlpXn85q1J9IVJoKGEQqZgOjbJFx08H85FSmfamguxdSeyRhH921fzHtn8vloAo586ZnN
gQ4hshnt5A5LO69HbBRSxz2HiWhqMXDHMJInMdRRAnw1S300hy135IOPKByYItfBuXQ/hzUGqSha
jivJJqOXvAV3NU07ACfp5E02oeEDq0ByyJ3g44Yv3NVbUBDH/RzI8qDk7HyyzjDYVlPU2Y1sRwEY
UALydPlCzxeuWK15zeYLl8Xrh6EgeM/dTNJZDmP7vqAOAbXtZnSPy6XY2YiYTVmM9W1rAA3nqHJJ
10OupWxc59TRrK+SaJqoT0ZXhZ1xRbnJgGTvGcy1RzzO/DXihve645xySGLSvueOGpQsZsSDruqM
bfMoVIDmfpVO86kbiy2MxvHJXMf1NhpWYNF5S695GwNVgjhXBwge6bbN0I67vKrrRwF67dXIKL33
7ss8VXDavDL7BMdUdCMLeVxNJwEaZBqXjF94Cs13lplMzIqaxNpIXnW4jo9DGJSWuXAVrGKEZm5o
l92J0cfnoS3d0dSM3VFoGcq05NHwUUz1fIrrIBI+mmPe53Zfz2WUOEyrLe0BqJdYTgnu+m4HZTts
JSLDZl0Z7JWTIZ3tiLa4FuzQLeEZQWCc/DzBhZIq6eCk5qrwQ1x9tKgEsixJ2GM21RtI/LbWXVie
OGqHUzRbdljs0n7iMJXs4HC7vCAt73deyfbKEj5taonM48LcettOpd10ndsFQuzFINmt7w2wTzRN
6To980ND5gW6V5MBCx6qEnaawQnDJ2YZOx0Uz49qOohkzaup1TNZzIEvNJp0C8d5ZYJWGo5b1hfX
rna40r1H1ckzWzjvFtE3R0PgnGzgBZ6SfB4hCMbmFysri4T2g9jUqAFkgyttJSyJF9dkktE2y+l8
3TdI7TKjxo3icJ9AkvYMsRHHWrY5HHq6IqirVTZiSeF8K0PailZdGznXF03I2i5pCTLFbgoYhAov
6ZOJ+nzLLPVR6pauuBCYm9TWpsO6NU0OTCNuD5wDRQHv2xMWof0CJ8/3FKTHw1yPJRzmMD7uRDbF
fWrG3p6My+ofTdYZk6wtz9fUsq6F4/AJlLo0lwXZzMCDkjq37otFAz5rheE3Y+w40QGP+cloC2qB
ChELzbQZh9QPohWbxonhYsxbsl9V0xxIna96bgpyvMRK6hxu8Zy1C31O7WE97mvYJvINKGVzKzBM
SLjXGaN3HiShRAExTxbkM0BbGlXpJCzMLh2vLyMgshvGTQtXc9puPYaG9WRo7DYrsJVj7/Ju35Sj
uxvnHBJe5mnboPEQQhxrprrxJAfOCTMntedAufINaPZLouamTFtG78tx6j9EPYfZZB3wx8IrtA+Z
vMUtXhNVdUTDQVoUtIkkPRRzDCy2qavEubjci7Uxm3ycQpo5jvbFtMQpxo6eZEARyDQ1NTSEWADx
JIseOeA+gkP8ZIG2fwU3KupdmffmdA1llcPj0W07OdLzqjL0klbTeobaBaSLKQ4gSsv4sm8zf9XD
1YyQVGQedVNHcJsmWtQBcr/5YGiP0jD12e1cgqSNpqbsk6KRzbZ+dpGX1QJaSTmkshD9XvZTvqHV
R0A/6OKO5Pia4WoFBWiBwRUOTEFEwLkrTnMvDhicfBT59U4Z0mvqg9oSX0V77JoxyabOGo36qL8E
gvNFoLr5PK4O5hDTfxiyuf8k+/geZIUxWST0QAz9d6p4ASMN/pxFvHlPoS9sXF6vl7IKt2jKsm1J
UHFhhtUWui3zZZd39axr4tYED2JKhx4upAwENNY+DvVpJHy8YSJ0m6yr+2MV53xrGhtv82xKal/2
BwZD3inoUbsFALbSGV3wtu7W/EOvUH5YapAAaH1tFwNzgw/tEcyVSzKzzJ3EtB6eayCkXcbuh6J6
5naz2MQE/gKyuXF1W3wqnBBHMOGyFPci25dqbdJuNWqDSo+2cz+BrCDqGJrB7Dekds9Esz9dyqHX
rg+3cTTCoEL5cBTFUbvoCGcqwbgoK41FEYPukGVpwZC4KZd6dbpFXWm0xC2DcsNx4qs83rgBidPS
BpPgtRl3Y43Qbi1oCwBQy9NSzfX5XPL2oXVO7KSbr4Ym41tcrtHWDEX9YZjycTfNbN6QZrru4pnA
eX/Lb21RVKd9nk8bX03VaY7iOI2KfcHccmSjNjoQO0Vn/RDGnWmaYY+7XOlQqyLtUOuPVhjyHqaC
RtsgSp/knQRyNqj5hrElTsD/bSJbZo7gvs+wcYZ+LmBYTWdq140NE2Q4znpQh5t9X5drUvICUBFb
kCACKtxZPIV2U/V82JCpY+eqofKAjX3Avgi3IevYHjr6eJT1AU5OS1xt2MDz+2nhpRadM3Alhla3
oNUMdz0SzUVciOIjGSPNOu52Q63ocZgyn8KlwV4THo9HaMQu3hcOZOWGze1maamH2Nm10rUZ3RcW
yyKlS+uhoezMACftRbSPSG/OYmG6hOUAuhECxQuZoTvqF2DTZszGrcRNlELIbGJa1AMFD1jHk9pR
8ClIRFjBbb0RiJIPCSoqvuFlr8tKESCf85KixfbbeqrKhPq4vZwrm+/bAnrhVFf9poWLUkksofcI
mGHS0tbNqajmeVNFCmbmuKjcFoeu2yK4a7ZFfU4zzYDYF3oqq/F0sV3xXopRHINc328XQVfIU3HU
y0W5NKZTc44Ljs8dMMA9AlZ3UNUwJEug2dZ3eX5pYWbSYGBKg1K9hhtcvdFqVnuLPFxIiFrQOnwX
aZWtJ7Yp7qMlEme2Y+NFvZZnowOCP6L1kXWhTGRdnarCxZpMhHxpzGiSoXPLxSq53RJQSz/SYkHH
tmlWopd54IWOxHCTjcSddI1ZUsPdWRjHz3AtotXMRx9cVY3naGhsOhiCNGlFSHyUT3uLvYVZNlQX
7dgAbsM9AB0FfMdsS0HXy9hwhEdSwGDeZbuIFAaqfa42hmXx7YRJubFl8VDxaT3pPBxdJU25ykQW
cBDHxrDs+GrqxxG41TbABbcDJm35fiqbJiUEeq6MgKxokAtCSLq6Y5/ZWEV6qi3aZJjUN8j77Fh5
obZVJpYkX7CAg95s0GTO/w8l59ZcJ65t4V/EKUAg4OU8AIt1sZfvdhy/UInTEQiBEOIi6defsbL7
7N1x90nqVO1K7bRjmwVCmnOMb0x7C3rwa8pGWy6uDZp8apKvnRplgb4pOGRNFD0tMVreoadjGUA7
h9zSc5K3VCQ4Prh7SxY8rWCcXc6ilj3LLLsOugWidLLJ/abNfCNSNzz3wzzgQJF1uY6kO23AoiDo
WB+KfEif6Frvrdz0MYsaupfZOn2ZFzbv/MncSKFM4Q1Y3PGSjfeU9fG7L9RLGG3D9TokY9FaMxUu
Ne0p62ta8UQnZUfbcKsM1cv1VEv9aLt5K5Ye/WOxCQPpcjRtd0Vq2xWMNd+dD8hk6T22CwT1C2fX
/uTXsNighY2mmkkTVn5vXMl7fpDBsO7GFJZG6JEsZ4uGysaX7oCUgvtuUJFee3US7DZXn72WzI+E
dlDaHMSbnqR+qYNEfiM1kwVRnkZ1gDcva9K4zxMwInccpBjgTuyOn5LWbPs4Gk9L16ibmW2QjYV5
y7rpj6blSZVMMBS2eLKV7zJ/n21bfzKrpFEuRrr+AeMjGAqPyfWZZ7b5JFI+fYvVdz4l6DVj6R/C
Gm4BpLe+SELXf2ZStWVI6HKa1i06dcqsdy60OEI2Osy7sM70oeZBCrlzZnTv90FUmEsvPzZMQsqj
9QPbsHnVzIlDOw/8EaerKcJxqEvOOlbUY2dkTpJIVkLOeJM6z9kO8rFGwSi78a3uNwNtba6hRHXN
bl7aBrc1sCeSZF+nKAxO05bV+04o2AaAPm/tYLI+b7h/jSQCu96k4AXYNZlVU6s6Hx361GxVgw4j
yFFGezhH41GaPLJTt+6okuCM4shGogjY5DNckBq3UocWepsAhaRLubl8QgvyBMl4qCRMy2PSdXdN
nJAd0oOsahwMnch2cHU6pypfuu4IfNTHwZGOL66X1uQoZg0r0OB1pAgFsxWdp87kcbAEFmJ1E+yW
tn2AZgVzuIPENFqUg0nSjSijDS0JdUHBYMlU+DXbTZ3qeh/wdrkxtfCLsHHRTvRJEQDKLajqzsnS
flkHt+RR1M4HeE9tFWTeTjmq8qD2IU+obLnaSFYfxBbdTZucoNJMKD+bcHz210gWyjdh7uql9XZy
q80n+ORt0cfopKVP1fcNrM8XiePxnnurhebOWSEhge4Dysh5gZH5OtCkw7aASpvkfR/yP0bGgn1S
R2/ZOPa7LRvCfEGG4Bj4nTgmXnDFZPxp0OlwTHo9lq1anmUAXVxEZD1kvdZlrCK367N0/rzShaZ7
W2/zbowi7L96iOL9ltTxI2TTrhRkUXsyiuVswCefxrq1VRNGzRu0ftbl29RAWdbrCJej1rsk03DZ
0ra98VaV7tFprSVFxXdasEqvUBnIgxyT7KAj5hXTTKNT3zsfNexMniEpQGJOZXg1NVSf49Ukd1nG
4N1vGVahTFGHL5C0K6rxyqKdCismzHzv6pbeGUu63DVQdGI2LZdaLL7SZo1QtHVk+dLBzZP5nJko
zQ3u4aM/k9bLfcvotxZgW5ujfpnuhtDgwJhgMs2oG071wvQZhzXMu7ROrtRMR7hWgZcclrDrj4OH
vFWeKOg7Ktb1q0saeeTJ6h9TyYKXABpT1bluzVBJNAu21tWhRQaV9DbVgM15O85V4Gdm1yZzL5FD
2KJcDgn/5KdkegymSN2wZULNLfjmWGGwk8k8c95E84x18EoYH1pEgS1+9kTXnpU2ZeZMAUSUBL7b
+9xwDy9PI/advRhStXTbrfO86V7WXXgl6mF84gHrUE0MFr0gnISdauh61dHN5wXj89KVicvgn7gu
CL5trZiuOdv6r35PZVY01PC71TZQ5H03tvS6nwcUAamS/FqnM4DHTi1pUyamDT9F7aq+66Wb5sIG
63AV8hQHs+FJ6uXeENZ3w9YuOHrRcV/7C0Dx85QMXlgEW0wPSvnJN9siTOGwL35nVrL0CnUYPQQk
wrlqvKCpiyULVr+Iu2m4GukQQynSnnryWBO9ZKKf3/1hHKEW1oyn2MOAy2zYqt4W7a+l61dc7sK9
9potQH87hJ1fRNap7xESc294yEkOSzWbdlvoRfnS8HEsAauwtMjoLJZcEw/IFjjztNJo6aDfd+Gh
bkj4OIpJ39jGJz1OxtYOOQtldG50D2xh82eNeimCSF42yyUhkjHzPLgU7LySPSIb0Y/rIvUaF3rk
Pq9QYKrP2po4y9tuxZ/jjB1vGww+CbKPtwSo0zlemgnySNbUB2sS8yzrUPj7rbfZiU/OqTykS6fO
bEh8koONbfUjh3N8YLXP2D7pQcy069rox5WPXVBFPY+qnsPfL1dJxCO8StYdRVo3bTHDgCWlDzes
LVw/kNzWWQRlI8RbXy+cTKXWcFtxIDTg53sbkDxL6/4q2bR4VCmf9+PSm3g3JwtuiLYatzQAnstQ
/o9BVGGV8qACO4HKotegeDpYV0s+MqgbRZ048QhJg71ChkcHnXljVC3B5r9JnegT9HNeZT0XL77h
a5dncWTgh8p5Xw92ftfbMt8E1tgTjfnSXmUgf24gyOLHdxrQmLvAK+mcYZ2io6/PRmJhFohqgcnO
lvEzHVCZZJyzc4KYRlWrlR/SmoLoGRLLvgYe49ex5VrnK+Ih626iEJ4K3qBB2nUQLddiBIYg4TFa
+Zj08PWLVne2L+d2wWpkdQxkRaf4vxOp2+sF0vgLFIG2LaZ2nLBZCG2+yCxWT3wb5ne+1mECiY54
X7wQhH4siXqCqumhubOSlm3akSRH2GV7nnwyfVIZBIsuGNIX9Az0JiHMOFj92VlOFPWBEprikB88
GIoa+xUIGtTjdXgBR8XIloo3HHS1jsPCNx7qyhkb6Q3eg7kvDMTZruCLAM5OAst0GY41zIOFpITt
l2TzX0fRtWkhZtCaULCwsqaVRy8pFPohrxXBg1A8hikx+QIPs+Pj1doiqUHspOsH8H44dyEG97ct
gg6lWtPmnIlM3GXzUIsqqKGr5p7BS+/wvCGA9tbsALPZ5gRYMX4hqscigBX6WYQz/UZJw6+bkYWQ
Ie2G7cGfAcDPXpT0uUBnDlvdttzCY/Dx8gh5QXX56KKljEWcPTWNhyWfZFiB3qjwEIYFzlGlowXk
38pj4vIhTIECrlnQH6BRbc9e2vKDD9btlsAweGQtOA6xYeHiWKjPTULFo40T9dRlaaNPbayTb2h2
tr6U64x3A6MzsCsx4jzkFTyJymwG2rlHHc14JaM6lIWDjvgqrAtRZ8kx1EcM2GgecBQpWqZTV/Mj
tQs/TGnCQKLg/eiLDRbHWyOwtDu4VzfgUOa9jWVXyVFg1+0se4U7hduZBKEdbjedWhQdDXM7H44R
r34wTAtgyO+jz2S4k/WK7Z6OBEtY8cv7PY9odG7SS+JnsLqrLlxjjCZ7GMJd0G3Y7/FL8EMzu30S
JIMsvGXh9DgTu8GKqvlc8cvOPOAAqDJnzLUf16zIBjk+DO1g4BwFs9mhqMcJ1FF8GYqzvw/5YM/U
TyfcA0RA7nRSy/itE5No0UI2FCIqdPWLQoWHhPEs814ODZqhqe9pWtiQU3HbzGbdq1nJo++N8phJ
zz/NrsGzwCE30gIPGCJ3MmlSxQZ/lo3rsLdvflvfiphij2wdwT4X1xKbiK888oKW0t8LDrAnZl7z
MGF93yrT1ecNScXd3MTrwWMBzDKDmrropcNNsmHbz1fJKrUtk2GA0jp4ae2dbO8Lm0uJBReuMYmK
1fJ1H4bwXMuhUyi2faik+wZ2DQicxaU5Jx12kgHZYg7HVCDpMi/qyYwB3sVhotntOq5riftAD7XK
vKIj/aTKbZITHBEdnyT8BDj2KQjTMBjjpwire99pr2eoy2T8ReBAQZUcOHUY2XbmPaCpa1ihOLJm
irzJECEAgeKBHzLDyWHhJgahFGOprHBoizGF8wGwC+eF39jtOfJnirpxwiEVpwSsLbHiEYWWx3OU
PVi8M8/gUTZjGjbFlggcmKgOwyu08cutVeucb2MDKKLRGokuboI7aFS3SxChYBn8IKcgJgrPM0jD
jMY7LcumT5Am8GnihtS6gDTuHYxQKAH7ZMUev2L7v1/QHK2QqI32r3iGZ3fj6gABGm+DxrYzJmi9
M8gDKdCzjHDauXLxv+jjPxPQf/L1/0rzvsvRTi1DPORHkvnff/3vJ9njfz/myvznP15mAP3nb+f/
HR70y3+1/0Ne8sz64z+6XM2/fxZ++59Xd4lB//SXvwWy/4/I9b9mEf0fX/wpj/3T1IS/5rGDS9oN
aDdYyn+nEf4hlo1ZRX+ZDXTJO//lG//MZgf/5aNXBkQaRYALQY3/O5udYWoCCWiEVFgaBz++8r/Z
bIKZKwFG3iA3lSQJYPf/ZLOD/0ookFsfjD3izfje/084+wc2+xd4FEG7DBHtGOTzZa5IQC5w6V+o
fcj9NRep7Q7p3B50CzFluKBUsfPPBChWP3XQCAwExeExnYTLyRYiehgvL9JXv6H6o49Yv49wBWIP
OCmRYo9BCPx8LUQnFtuEGw/IlSZ5AjkUm139ID2KNp1FYjeGgS1wsM7PNFtdFdWbrfoVjEQEa/Sb
Jm+1RDtBouYY2IHdZM00VbNdspIK3e5hq6X5Avmy4t2mb3Umvqqw/4MsQ3K9ui0p5Lz1+z5k/kWX
PI0yWk9+aPgeJrR8F9m8Qu9gABC7NL2hjX1tep7lvWv1Xdpk9ob5iS65GzMU83ObZwEMjgbpkBLW
uQQZ3psv1ECOnBrktNF7/yZB+RFavtw9imAjyDRQ0n/LhfM+SXAyG3WAdUZA4fD3gLVpOU5jCTUv
uuKq/faX1f7n3vCr7A1+I7kkfDF6wIeQ8jfSXM4+AiZUHYyv3rlu+1OsMvsb7vtvWZgfvyW+xLIQ
cMaJ/YHOB/UdeZwAb/ZkfaUVDfdpAr6j9WNbKAYEUeOxNgoVHSAGnBd4KidIOPzaKncY2raSZGEl
dNBkx2MNqmf0yuUCdf76ZvzD4iUh0lYIv8SU+MmHyzQsoMAPEPsON3IzyYXkDcpFRHfqsg5xWWtK
25Ow+irMALv++neTjymoyz0KMREgviTKLiMIfn5zDOAa8IWdOohmNUWqITM1E/Ee0fsEu9aZ+wnA
yi61M6Q1h5jdN7xX09NSt+bKDWN0ZbWI8k4225coCMq5m0tT6w1czbjdrD0oApXgH5BpTuDCZncb
fL9ykOG411M8veG2JKhkfVMBIf/EdFP4Fm5ZslpWBURGj5Sv8adxgOT768/9N1D/x+fGHogcL8x6
xGx//tyLc26RrYQhCvXRtMOnpu0/J53f50Envo6LgZBnAKf48XSPvIra+fMEeNW79hmRxUxhokxk
S8skcP4d1NXoNxcYXrbPv2yvKS7wEilBKB9QO3ylD9trjBZcBVyPB4JyGq9HcBvChi+ckA910nn7
yWzeHpGUko96Pa1ygE/f2B1tlm0fRJqg+1GPQeizYplMW9W654Vx2oeYm3W3s/HxI6LUAD4yv9mN
k39Y0AjWpXi5YWtfZoj8fG/7OIDRkdWIQ4bZEVNHEBNY2XstM7TiPtTs6XLFQDJue7aEO1cjkj6z
pC/GxVGU7CEDS7MGLB9TupaED7TE1aYljkEPtED21RvDtNQCEBDZRvaZiOS69be52IANFmqY1iPc
r+HGkezJG6YLTNs/No42DVxU8CQz8cVD204og4GFkXvTd1E5M3R1Yzu8+ogf7xJfQaZ1OqBFtjZ3
1O/rXJpgKyRd7DUiP+wBowqmQvFtKzQCbHnQD7TozWjQL3Q4BmaF3E4AMJJO0VSBHbqtWdecZdLB
DwrVd2gQWYko7BdhKayBNFLVgJmG3e3I0Kh2c3rh3mG3Ix+Otw0iGk6B8chWsE0xgZwbT6m7GwmY
ZbrCK0I9Mj+wgOG8jYn3/9+gIjzJHzMp0ggjWX5+nnE/rgLk33hYmH+zrNdDTL0CezswfyGvSWev
Qrl+8miof/OL/+ktjSKkGBOK5CsCjR9WUt2vyEd0w3iAv/E14aqCqPM+I6Rd4kZckHSC5F7TfuKO
KEgekmGwgrftAa8DtyTzkYxLWGxrZ1+hgzUsFyhKfr2R/Mj7f3xPcY2XpCxFqvjjIZN1gUwc6cdD
MiCAMiJyeK0gyxUxUzCzwWTdayCrOQ9jVQBUqeyESiRuJ/DpKT2FZFgqHCmsjJy751q+oLNqqzlU
2TGEsL1N/DNwiuU3gyguw3v+trvEMcaxhJh1k+LPnx/p2GyJBTKpDs4BaUULhEACQTh6AndYeZHf
XA8y9d5ZNvivG53cTvHWnWH/dSDnBtiBGxz2Kg6VhuHmxh2mUNy3ICrMyI41ofLRseg4LQ9aZ1th
FGie2KFR7TGZAaUZ2XZ1W+9pb4KCD7DMG+Y9hCy5zdz2KWIqKPq+VvvF53ep3b4A09/92PwIjxXU
0GypQgINGcHUGXIUZvWwDLpZ4yNRsGbtPBVgMo9iDjgA++isfOjF2KuOCJ+aYnb8M3MQl7zklkKe
fvr1eog+RgIv+zYyQKiufURM6ccl23ejDTBKQB5SUheKuHPN7VNgOnYTo/AoaxHIPPGj3byFrNAg
vwoo59gAetj1CyAIZEUqeB1+GTWdB9c1BSbvT+DZsPEPIejWeRw+o4VcgQ/YuPjxW7xtyiMMgoKG
i58UE/B8HmaGxFt4bVv6IjWTLz/u8zBOYbmF03NALf1mx6FACHPIgcbADAKxlgMIb/c1dLL9pEe9
+/W9Cf9h1cWYAIRCHbs+ElMfKh1/zFaNwQjy0FJ9r3x5FYwDTPZNzeUWRa94vbxbiWIwYuB+18bE
pVj9dhdC0CmNN+sy4HVwJu1yO6ixUjX7kojmposn6DETVtYkyLgLLqTOIFVXJAjl41AZb7nxl2+/
/iz/tDVhqIEfwpm8zBj4OKWimeSabmOKrckLvhIj5we/ccEp8p0G1+o9TZAZ33WzQRriCAE0anrD
e4R+XwR4GxAKp4g/MFFu2G+PrYVAks0tJJ9fX+bfJs5cbjPa0UvQEqlYxPx+ftEj65OFNAh4hR5I
VtNMFzA6JHvm1T04tPpqGVKatxmjD7QljxInWO6ArFKdtoVZzIZXyMue57F9njeWlPGEFJWrZ6+K
Vx7ugzkDmtMt/u7SxOaK9CjvkH9Cbsg+KInv9pSDG+s9SJ+sBV0jdvz1Jwz+ngBE6ZrgeKKYVfD3
amNE4r1BZSsOPtPHGWsfiOVVypInTyV/mK7fazN84iK68eLlN9Xzjwlkf9384wj6aJxehrQkPuSr
D9voCq9fN5cJN73vHxtUH9xXWALYH2PkCUJ/+tyBcO384cSxm+c9/P9pIL87gi7P8ONVIM2OdipD
7DT4OLFhJLZuvQSvlb3QveFg4OwhTNU6a8oEtsEJb+NZ0QZDfrpWVIyMqPqA4PEYGR/EHUpuCLua
/Rn0rxH02A5jVmEAg19KcKm8Dm+cf6HdQ/VlBJdcii44/foh/kOQ+tL9hLh8LNX4b7PB0BZg6hQy
kAePM3831yT7tGGjz71Y2NOGyzsnOpK5aMeh9DTzn+dJui+9ZcC5QIMiLxR90qzhu8mZNI873IN0
VfHO8/VXCPBAWmBAFxDO1xtgKfrAIzyO33yGj7sbFkOGcYgJVnp0eeM+lEkLDWo9yRhJrhVsewaE
7qtH3T041d3WtzgbnTwps9Fqm2ldscAcAkCkFayT4ZmNMarORRZel60F8ggGSU2XgdUWoH0CfEJ4
PO9jjf29hmBaKhqAWSU76zpT+sPv2sKP4g7EgEugFmlpFI6Y9/AxSd/7nt8FYhwOgxY72BbzdbjU
8a32Fuyolywir6NbA/EHsRoF0SMEzI8wUq5EGyIHpX7zkv+YdfRhiSPWD+3qImylGG/x8zam5QJ8
PFDDIVV8n2yKAXFImiMmi/u5CcS3iA4HyLdtlS5JuIsHJ6qJdOCjI/fYjGSXyflZ9uOc60YcN0x2
QE4RSMxdg9hyjv4SgFdvvarpbZtPKcfR2O1/vTx+VMkfP0KGmUboNhP4SR+j4VOoHQAcIw7AokJE
k2ZgPGHj59lagxCcUkQ9+gauO5tPtlbfEch99PAIcgjHUWkyeo+Og7y2wXRseUpfFgOMCIT+cBZt
v51A5F+4adJeyYHrW9otV9RbwIB6a2VisSepd6ewB+A8bDD1QRYtwF0M5eG/2RKj9PIofv6cUD/R
uGL9YMZFSj+MdJHgxGDvNN0BcHdTJIq+YKyiymF4hPvQzJhR5vqNFYPi4bP2GGbcse6aUxt9Bals
DwII7Q1p1QxlXIwYrjU2wGsS+KOEA3iWKcJhs6uY106vQ4c8zjpxEPOCvXNHs8+B33cwLVl0R/mQ
FIhFXQbZML4DSaT3vevDg+pju4cpFiAv1e2cx27olqI470AxB1Tc95ORN97U6GsX6qvZ6OG6q1f/
gCzIhNBSEJ7CZfXu2DB+gZGOdYQzEf3QGHd9kU7p52SZdjFicMhIGYA7sw12CNHvF769haz+GooQ
W6iGigBg0JXxsiE8D7urGgjQWSgV7Q7xibqUHVEAPvihHWO6m8O0fpFpnJ5pBh6BjvrYmFBUIsSQ
/GZ2XrFIyFpIYal9O8czspkteZ6C4ZVwfyidntRNn/hw36NsR7fmqVPpdthmoM/K3iAiJyoj2Iqe
V2xlOAFCzWA5SkQz+7cBefFhibJrbP7thmLdEIQzebAbKSovxGBQhTfcoJrtQRbFHiFvUWs+R5y/
I53+AGrAVmGC+WEYZ6jItafk+ziRT96AyDoQG1IoS6MnvS7x+TLJKQ88kRbSkuFtQOlfDAz8MziF
Jffr8ALZL/BwA3TzM7CUKkmAnMTA9XZdyvrdNEd7hJxM4RZhSqAIrxOSfvfa+I/Syrtp7o7osKsO
cehi1C7Oqei+bD7gomR1bn+ZFLLD/A1+bFQr8rBN0nKFqQmRalmP24L056bhyISKf+/niD4kC7+k
4xtdReskS+snayXDeD1Pi9j2XeYlp3VKb8SACHpKXoPGDwqHHrsIezApKA/ba39uMsSzWfADVsoT
g+urJw+GHUlmGKvRPQj3S5GO/rKupweI4BVGBuCsqKFcrsJVJFyyvWCXXSxOdC7V8t16CNHVs1gP
G5JWlwksA4D4+TWSKTsKaaHCDHgNNpmKazxU5BkAf51pjBrKLBFyvoy8aBjVgEEoQPjtcqswR7FF
4NhXb2K1pGpXbneT7RW2/ngAYOaHZ4VpA3noCF6PjUSYdZIMC0IbMsGmPUc38zABhNjC7K3FosBn
66Kbpd9QbmLGUxVZgxEI+Pz3WnYZLDE3HGArgl6dBvy7JhsOIY/FG8YiRtXEouWo0fXcKz0uuw2D
/+6TFk5s7TVI2gtbTtn4lswkBFn3vW+xMqcF8yc60KF+pj4vgVp2uGSO/LNqP4uEnRzcAoxKuodk
jF2pW+/d7M5RtD4b3lMMgBV4ZVV9VTPhIQmCWQNRx+yji5SF7wDViYV1dETAZDxBuqOln+JBSpoo
xNbbr6LP1jJU05hnfQpbIcNUjbS9ouvalYzJFikzkuHHji7H1raAJFNxrjGK6/uol/qtyzr9OvZj
dga6hdoF2C7S0srUELW4j4hoJPoyxdimg1xHV042PbdzgLhYfFV7BngOFbs6zh4pnjw1TLwPtY1O
DSTMQrAFAxgYl5VKl+nGBr1BHmttb5J5vQMNBnDMH8LrSAXJobOLvluIR967UBwx/G/A3SIguDc0
MBQNULEpBFwcxzoKJUWA26mGf+eWYqcbRf018TX5AkpsetaITZer8MJDJGN3q/sFDYrKXHLFQHRo
zAJoXhYc1wXeZvKta2mGLCIGuBVInU7vNOq7p0Bxc0WdiMq44wLRtQbbz4T8i579pApbdgNM8E2E
0XCIFEFC3FGMl4gT8TS0HT0gelfoVaevnkPYAgtSVoZrd2wWAw9LDHZEyixKHtaVemeWrqRUAcYG
wI9rbvQoAsBB0iA+hORIy9zD5lKNzG1NXzqoH6W/WfXcxaI5LlPovdc2Wf8YrV2OgnTTjY6Uz3Jf
CIxD8CLh5fXWBFWMFC544uWupQSA/JwmCEkDfc4TkBYHOD+06MD0IEWCEF2fS0wpvO4Da982xB7y
NiWqIj2BmwJBbS8lKCMT2VMfU1kg7T98Q7bOFg7HDsZQ+BzS2bqdQ97BEnZan9tB1wW4xTpH0px8
7VCpXzzxV9jI7BJS4TcDaOGdjOx8FWpzQoog2TUxjvBsNOIZITyaBy1e8zWOmkcbaFBtLrkd1uhw
yZ0fhbC8EBOigq0M6woOmd6hKKvhtMWnOkQgTFL2GGL88b2tIfG2tTEHT/lY2B7xztj997PQ6irj
DAQlUA5MpEgTtx49PblPWFNZgVQQHkstEoSSavYSqtg+1/PSH7HkLhrUen0pljMDHq6NcdIxgKQ7
IlT9nLAEBvylUsGGOU6YVhAir2ib7WBHrCi0UN3t6pE7zgCPGhrNRRASsORDRw4MMykqu5porxbM
7ugHcDcB4CcAUkl6CSWLfOrD+ViHUV8RERNEX0bVnt1Wj79pBqN/Kr8IZur7sA0izA390JLOTauC
HuMIDy163+t1yfLJCzAOB0Achjv00UGGPULbmUT2YkuJ3alsxDxaiokn/eAcQAEsr7rzo0+g1NB7
sOYBaYD4iCpzfq2TZas44P9h12yt/STrOSprZ6f3eXTx95ovoP29zpc5Ba/6EOphMViri8S8BEfL
hVMHvoGoO8trehgRqUOYMUuwIASGO8zNrsmYd8CkIlNi9/8DE5EBrHTr7wTty1yjjyUqzHEK2Qaz
ejCx6eduApncySmHUHsYxjYn+NZyk53cjQbDKH5d9gcfzRBMEYQQCIkVHmSEMUEfnodbVrUmvekP
iYfg6IApm8dIqS/z1jUFixtbCcG2h0zQyjHAY9kKQoypEWNQDE5Wr98OrJuPkBSAchH36CeeRdra
AfwH7PSbHgW93T/cmRSq5WUAGPTnjwodnXqdkhUcC+o9UwYYTXxMELfZZSsFWt+S15hwfcKEVASP
KUrThG47xGqBxfept4vk5Wjz1S5Y9AA8u8cS6yA/FSSe9JI3w9reBSxYqth17e0M4uzY2ck7y3T8
Q2Ese96N9YYvtt4tw7l77SVw4NfFt9/ryedXa4zpieBg9xrbYZcjf4O5GlACoaIbC+l3TO2C4Rys
/hI6Q09L1LdYWBcoHbLhlb98HluZIqsGBxepgm++Q+gp4E0EXx27E/Ykfj0F/MpdJsgFvn6FGH6F
9ERaSt9Pz2uk1ROmAmDQDmhpFCU8FLsFec09ev65zIhYbkbh2jVPHceQvaAGhRm7/2HvTJYjR7Is
+ystuUcIFKNiURubB86jkxsISadjnmd8fR/QM6JIcwYtojOlpKqlFhmZIpHugAEKQN97956bXnhD
sHOZ5fH6sMsdukNxYRtxuO66fJfRPV9idewQJ9DuHOzoOUji4iXxsnM/8MXCdcRLlvZ7D9PwGrHP
GVbbrRAo5HSzqzYoq9ZROHq8tIZ2BgGlOskH9VyF2HHK6/Z7HnT6pSFrb5GhlkTy4PfrdMw1pAi2
+6JbIlgDNxlOgzxvT0OMbewgS+ANCnr6mMY0bl13vFbMqt2P9TT+VjJ95lo681Ad3hOfMw/jkIkz
Q+mfEs/j/V452xYCGp4ADMcN9XRf6rh8Nf3V05UAe8QtaEBzFUuVZreNuT1rPB0jaWdeNgAXsM95
YhNVNpr/pse3kaXl3NVZCDlylzVUDAWHiYdgVh+CZRmK1zCIk9cxt/K9gVXihO/2OKegGReJ1Zlz
n6W+cHhPzexMnpgtdpIyivVZb3YUwTqjga8f+Lee3+HLxWGswn9I2/kltcBXx9T3PRjfnjCiK9mZ
xjd3zFS2xYbZpDNcyNE+d/xlkfbJ2vK851BHbdCyg8a452+itMou/FE7w6oiFh5TGgS/+B/zst7p
bVSsTLce11gV050eRY8MP6dxqRpymUus2Z5T4AWJ13lZ9GcOuIRZZvYSMYFXzgbLmmmQeOdOCdxe
H8KMvzvK7UtbHQS7lFie8V7UgSS14xlevXBdon4/FVnHWsqhLGkFuQs05zeF20RLRNRHiJWf9HIn
iButapQIgm7PAVybiQXckbSON7mgfMmzLr+il5LD73UWfdFVbMj6MJ9Hsv6Wu+Xp1Dn4+u6JjyA3
m8YXZ+AQeYESQ5/UKR8/DWntVa2t0EfFN7jA8HyfNW05C7IbKxiW/uh/U/QbqxYLM8BnpR05+iff
CqHq5tsHg3N4mzW+k1TVSVNpWqrFG9qBoI9E3i8KTnfOWbebSjFWULSyhZWk1TJpo/GIDOgXvQy/
ncNLgl0cSwcge/CpUmRERe1w+B7ewNJP1Lsq6aGV5dq1FuY36fiS1LwhkC2tjGABdmZOE2GOLUzO
3uRQtoZ9PrVeG91Y57WhH/uUfvJxEpgO4PWiKUAYN2193l0eVCCqmrPx3pT9vmhq2iEW9t0wWhhN
iwofeAW4ghe74OMocFrcWOGIecKwn5sGQ5q0n1F5r75eL4fSqbdLZk7N90mwwZT64ymhMuv6RKYs
Fz3+5rnuXQv/h95Ixe5dV297yvAj75dfBk+Hhzx4RjITf7Gg1gcMqNwYsJdWcd6/jr33HaW9ijAg
vQj6+CZpTZdOhGEsSiku+0i9xvpwFmphfZF3k4/DrsOt6VvF8usr8svEaTo/QRufp4jKTxwOxMui
KOzWlpA9y7ydBW5pXA91c+WzrrK6sLeDB4wj6uOLjjkzqtbwcpRp8mB4AvROZimXUUfISqUh0Uas
jYPUGl3UWKq3VsHmzHEXyPkIu3aG5NzclmVYXTWpIykxRpR6NcqpzOlQz7pRP9etIFxboXVMmPBJ
M5cfyQt+estr7CIPJpktxsU4FWDyy8Q/0S3IBzK1aLrFOf0H8yJkikkRbPiL0JXFIsvYyvX0kfDQ
gYOSsaOtA8V8dYBKXEX4EnepblyllZ7S9TfCuRGDxDCjKDdnqm2Mc5WymzlB7S2RB4Yrv2g2OvLv
dKbnZbONNHNBPsR4VzXJmV9nxx67X8dLk7KSIQCjLg1t6cFjR72gov4MmXQWdbLgxUy3KmuMe7NQ
6vNJ4tmCKX3WbTQXEM3snbDpQZWNY64F4imztXOms2p48/U6++zJY8oupU6dQ07CwZPnJ5UnAmFD
rjScu7GR3+rB6m/dAoYIbfV8bkQYK78+5NuU4eDTDiRVJSRPVwmzOXwB+dRGIQbiHChZyDCt0IBq
mvm4pnpRVsPg9idvogO/Thm1RlW07DBObXTXQEskj9+Yz96HjDwZqdtcCeuwjGnVPghL3UIiJqyl
Zchx3nr9dzxDMP7yRr3CV7OiJxHdiRi4Q+szHO/C4qGEPj1KSORZoLqzIC78Iyvms1tj65rkriC1
tbVpQb17T7uVLpKkA/iPvmkzCRqXMMfdlZOhJa27AdEtfadj92a634f3xiHggOGh4/yaMkANL6Ih
pdufgzVHlqc7O3xwl2KsyzULlV12rJzSqr/U7MKz5m/n8fXymD6Pv5wBE0CDohsc2eHq6PvRL1Uc
Uhu6moBeByzVOA7O3mZKuqvTl22CFPCS9ve/QRo7TVSclkDAe6hE6JEgRZTp+SZTInNuuG13njG1
q0tnnLuJ1ZwHrThyyM82anCOjWnybeI0PJQVeG6SRAQ2sfTaiLduR60fgpTIsWbPke6smF7VGDw6
Y16U1BOKGh6535+sMcQMPIIsfqExp/y4xvo+j6Xw8nyjDuaqKYaHgGU3t5oA63B0iSIkXf/tu0ss
AkJZ9D1Qfg9H/QrfgUw3iEWIYvpQLp6iDQAc1LlFp26pt16gLzYnx9WUnzzkE0160vNLBA6HYkqt
NBIQgkw+KfrB3iROvEWWbPCE9+WR7ef00TpYwMQwTvtfpGEOV/XjNRVeAgXGipmkqvE4L6R5mo54
bTzTpCbomGp9fUWNT+6hTnd4ElAY9M8OF5HeUeC2RZrRP9PbGRAcsRV9at3ozZhc4bgPz9zWxrwT
hOdSqV8UyCUzwyqUGUq7Rwhss3A4S4Q14vx2SAtQg3VZy+4S13+zjLNcPXEaKp52lO1NbmAKijLp
zM26H1fBCEvEhI6xsqzOmqEQ3PJ6hX6rpy+976fXaTjuO7N/6svE0ChOKehLDLQzwQhspeZmxwa3
wIxfJ9pCzXA3ZG2/yYIue6nMDKYr0MVrZsvukTn45CI5vEUQCLA247jAyHFYIXQdmK8OrMsGvaTH
ljc8ryxvEfKAG9MFmVr9sCjPujF7yHO51erv0p10Eyq02tj3VuAD/7kt/1tGn7/m4vlX7ED/HZ0+
U5fMtHiK/tzos6e3mz598Af98ad+unyIOKXiReet8pjrBLuwn+9e/5nAaNoqTQRbvj2Lvzt8jN+m
hDjh8IxieiE95b3DxzIn2TjvQ2uqkey/4/A5eDw5hMUiQz6GzYiBgX7wOsCQj3ZfoGeJhaddxVJC
7DMQ2ykzZwABvEZFWW7zurWGIy+Gzw5M9c1XnB9DGMH079/tH2CmBlLpmnSjimDEex+j5J7jTPCb
s64xx23RVtYprvzu773/3n6whOGOkEw1bPOtOfruuIozOkMpkW6ihkvXbRS5O7PTTWJJMnPvp5ny
/G4pXPx8s753wbwFZb5/nN/CljkadSuDACwgB7+U7opR9/Co161QrFd8ABCXBrVvT1UtCfxZJdr2
tGdQ+4Rmv3TnCL0SJkVWGaw1rPdPkJW6lzgGZTkTQ1ieACRLr3PdM3ZBEQxXpREBqks9UU7YpdJh
8o6/fhEW0Cr0oFOSWaXIjGCYRjGenNiHCe2aqovVdoAKRzdCLmSY5a9d0iBMUKe/zKxdD4Jui2sT
PEIYnKVFb26ACY4kWoyjnzP8jZ0TBwnsFBg40MeOAJptIMzy8pZx4BconTsPIY5h9VetCpwe+0/3
zSqa6ruERHoV9apzF6JmJLpp4CIwnI/x80Mi9maVrrfrFNnUlgQyxjN9AGBLhw5QLMkkxRDQ0t64
zOy4uYD8lKZLr9abnTaqyQ9bTYZlAjLoO0mKJsLR0Gf86In2VLgZuObEaNdKYiVLKEN2DaTA1bd8
EZMO4IQjMWgSenYRYAdpdxij8miZDNhywVclXMc8MrrZAEdliRU79pEisOGslFGulES42G0ZmV7W
WC1v4hE/JsSuMGIGpLjGU18RVYW8unLWtpKic8VEu3fMxPLm0DKcE83vubZapMZ3UF8JfjLdNr4r
CpHtk6zP9upQh48mndcRZbDIH1CG+TGgnI6rIV2ZnUs64u1G5E0MWsNhqTQ1F3yud8AM5uhXsq3Q
m+SyK4T/UEWQlVbSEOlOmj1+axbIeeXa8LIsCHjurFDRUYfjhGfsQP/pV1qTV9+ZzhUnAV0HDb1P
IM5wc+NESUIzuuiQTe5SyDzmqrcp0MGkazTpk5axPPC6iXCCw3DhE3xxJhgdh/O8mfge2GxaZMy1
E9NfdxHdzNyxq2/DstPuwUyU1dqNYb1AWmeQCcrHxtqMcBwSBrbd0Fl7wjd2I0M22AFjrj63jgtS
TR/VfNcyjKbP3UyXGNDmoAG6l42cq4kKjtDxSm4Nok7XXiqETZ43bZ18i8xBXkVG6azdLrWJRvGg
fAknQfGjxs0lyi0t2DdxHqwjIlSwsiQi+UF3pV03huTq8VHOtqVMMTHTzsB6TIbDOg8iVnbr1/mD
5jf5SgbcVMiCwVkCxGICL9b1ba/kPHFp0SaXgd+x3Ev0L+AaROA/OY3OQCFx/DO777K95nb5qpNR
uYHey3zSLnEhN7kWPpLwU9+KoRVneEScc9cvY3Nh+n7/0iJd3tqWB0bTtdXn2qK9tKB3pFgLrdLN
vR2ZzFfKpnppWX0zeDUsFc/tr6yMLLu5W5g86HAU6eOP0E23Io5Td0YyZdCvM8/vzJnMFGiTKN/c
a1n3djlvmRKdhZQqsAYQSHT1eKnmeK0gmhrajZunKI4UqLczAfr7lu2j8gLiPDmpJ6GIpzTGWeEJ
LilZEAYWcebNoizLe/9NcKI5gXfpCzV7jpDNL8NJo9IipdzpBSqeDgfLOshBadI/+DZOn+S5X2gY
wruGiREqV21JPly2bMPiFi2ff1I3innT5N14p48NSiMuinNV4TfdiNgeeu5GxtRbuu5O+sa6wQHL
NrDIT6JKvJp9GF85gQvwUxmGdYtk8SII4SQnJSJx1bWHu8L2zPOUTfcSYlT7vStKHT1fuYFhZj8X
VQWx1LVhzWqeB4UlV338Ubl7rpNdu9YtJ9x6bOc3LkyaRZ/52twnvhh8RxHuUeFbj0OamHytBfGf
DUrCkfBkcMj2RWiKb0Wr3/hlXT7Qf/IZjGTXbqG1uyw0X2HYKQtRqAyw47FGQzwNz5M2D+hqUtqv
lTYeGB3Ysb5uFa1e2QP+eyxULtrbNB3OXaX+4RaVOO19BoIxLDKECEV+G40EQjROfWmqnb4IMdhu
zdZ7chM/WQd+buxcH2zATG/qgYCu3mf6FecbijLvASoHzTBdI0zCQHnqjrQuRk9vICmpRYJMTWlh
MMKUZLQf7HITmtvSD2ulBS6X17d2oYlwVcBmXWVM8FHulLU2Q9hfntb02S6kRvfYaWVzVzuGubEC
YXALy3htO4TvckZ6dKogyIOvbAxrGYfq96buPaCaWRrInamWE3xFM/FDGi7JIiJOmNR4IIQ5FIEb
YB3daI5D2X4BGuIsqgG65UwHIL5qa3cSbLdvOuyghOokWv98qNrvUUdCTDCGeEHzHqxUUTenVNIq
umGrOBsrZFoV0QZLpD+XvS1OJT5E5KIwLXX4+IjiaCWCvgzXipQeMHXURqBMkXQk58YwiFMRaR5t
IbvfOxWSgM42lJ4q4VTzqi8gYYqBfCEASgNpRe0XpgJCrFWk5c+CAN+QqSBP/HNemBWZkT6rYtv9
/pd4YSbhFHyugIBIQIE61B2qPv16gofZiV3dsMKj+X/Cw3ryGe7MIf8RgxD6FqLk2xYI8cD1xOWV
dPNgHvmkkcSQkZ/BtzgnaT4kQK0SvKtqe8v8ADVz3sBWD4Aj1E4BwhAW4Lirw76aklgCB7ZKXZxG
XgjskXyeABdF+80v+Mw5mSMWem3mP+FiMpAV514TK/IHYSyzu24GGwumktPFzfIAMeb5MV9POi77
IrTvAvCx3/IDzNjY9OE5BF2xEJR2+yToA4JMgi22sXheyaZfNVkkZm+8Md3X/W3v6NFV2/ger3W1
AX5Vjdg/NMNejj6bDg9/POMdhLRZpeWXYHk7ZRZmopt6loQAMXoNnjA3PndkX84MwM0XaRR0p6aV
dAtJ6s7csbyeKCK81T8pZBhSQZE1iF/R8yThIwQMuQXMLWYlgqO5G0T9LygyxewxktRkLbA9LJ0N
E/ZfeGQaGRH3Y5ah469wXL4xyfQsYyuD/Gib9+6qYcdx4trYp2amUrBofoWTlUPZPuk2RO153MYE
zKiigRwMHWchQdq+qMaAMecATlYRT3jX+zUs0L8EJ2vbSof8aDFu4ygau0fMDRJ8Doz3QY3ZyI6R
au7BtjjnbEu1+7ZiE0/4uETq0rC5qcl/9hWov50XPRpOzFczhHByMtqdOHNqT7tHCN1f+brLqERR
lXRnK334mLUOf1eaOOcKolxihYh/vQtiCKcL6RRsqKEsnWpM58NZTpwDWUBZEz4W2iivRN6ZtyEd
O4nwDmHrTBFG9rNn97+dAoy5+et//OPPmSA/a36sgn/eKZj7T3UNUPIp+aRbwJ/8JxNE+41cZMT8
mg3pgv0Jw5if3QJH/Y24ZJWIXWZ6wmAa+Y//858dAx3wh83klHEJ5BxaDDgmav8//qGpv1Hf4141
qPTf/sa/0zH4ZXrOVMQmZG9K2KQb7RzO/iAr0yRD7r8Rme/smNiDUXMKDfhdV+4iS78og6598IVM
EFlTSbhKnoaw9LpjA7pfRjXTfAarIV1TckVxdR/0h9tkrCOwU+UmCdrX3u/VC2Gk+XmajsGNFkmD
HUO61oiD2MSlvQwaXP8zIixOorYzj7Sq3371+74q9wLahaRZY8AnwTL2sZ+h/0G7CC1wgDhnrH3h
w1oGZbdXAf69BB3DRvxVQ4aTyQ2yfcGOHJ3O02i02jIidGqvjMwNBhCls6Adhut3K+2TRoQwDtqK
nCFqi2m+Z9GJ4H99PMOeiBvRjnW1qUbIADM45AtYm+xbtEDXd+imQWf05Gfk0UjJG5M9EpaiJb5r
9O8yJ7Qe4GMYr5HC3PfYxWOpv2+RTIIMRo7CsPDUOrjsDm4khVKRO4h7NhG14Dw1k3TmWEF2Ffds
60wzzq7LcXAfPU1nR0Gs1ZMMwJKGNH1vI5VWr4q15Eh/6rNBDx9Y2jbTAycP+9ZtP8rRVphvqY0i
T4TaxOcqSrmV6qfAuKn86onpiZ8noINy5E5N0/33a4nLwRhCsHkHnGKrh2spjScXU80YgrYhPKk6
/q74trFgE4xSjukjZRFbPHDRgPVQi28a9AjLvCj9y69P5BOpimao0oLeovNGOrwtXVv6Tqg1VCrB
eDlk9lAu2MKa+1ZzkmVbTwrpDsMDYP4h3bqDu/n68J/cgilXmeNyFfDc8bJ73yLEyhFqbemVm7Ie
xZmZuvRyLOyJTqhgXcgJDCQkZhUGYAy/PvAvLxZuAFAljJa8UyaJ1/QovWsSRgoEVFEUU5NQ5E96
b6ycPOCGw/A5z1KCSYYxj1EYd/QGmpD5CdVee9FkrUkyDQXs16ejf7IeUOvg+6EskZZ+eCFMENwK
ulMAtnXinylRpu+x3FcpfjYnPSHGlZSpls5X7eg7wbsNtrvisuGtqwzoTZi+dLV01thJXJxKhrrU
SBzcalBs77PQHlHnlp47R4GbXKagIEED0DuMfdoLS8mLaul2Yx8vTaztBQaYjtIHgwn8u8Js6W8o
UytLVvXt1z96ajwfPAPk1AqmcSwAJiEHt0CtGhPqGlEAvocDg61uF6wrQ2TnOkmHV18f65OJC/pg
huxCQ+QAzv7gYLpvh37bKuXGLwpHziwsaNusKelc0RU0g2VIF847h4BP10hNRvsy6NT+Ik6GCjSH
U+lnMFEFkXyYADRE+EZ82ich05ivT/Ntpv7xmrxFuTJJg+Mj4OZ8XJa6Si+wrWEdjalKeAWNsxk8
cOVZ13rcH2JwqXlNSFVe74gzULTGNgUXs6YQw1Zayx+d316A2M5PIyyQ696wko2Vo8FMZOIS/uJn
yTVMZPchbOA0u1FNKoKDutKLhX3k7Tpd0I+/xIZExbgB36mF0+PgWzS4xMkGPeNst4rHUxgF6oLO
ifH96wvGvufDcSRabBokKtAjpis26pZplb17kEGvaq6NMnMzqvSRip52cK2zVwZ2q9DItPzpn25D
Ypo3djeuQI04C3ogLmBQZH8WdXQZkwGbDBpQ1r2T6WKu6YPnzLDXiTO1jempOU1/EYYZgYSNE9/R
g6fMQhBVm8pqymX1/PJHZRLC9D6WNea4eogLuF5+SGbNsl053qWFsiRF5RZWIKhJZQ6tezMlsxZB
vkeuNG5zNFOaEz4rivZN9b41NQDXhQZFN+pgHI6a92L7/lsoK9J4GJXeaak3l4eBrMx2XqtPAlkl
dqU2rbESUNsSDRqkqABdROAdsWSEkLyovwexIrxOFymwj1+DWNGez6xRrj+msDah3NMgvW6CMWXo
nM/JC8bPY/6MXQ0jZ5u5xncwQg9q+IBtZ9ZK+Z1koB28gf1A61YLjQclYOQQlkwQFPWmIV+1CpRs
bVrkJlYMVNSPqapqpW4dzBpVBipTk8iv8n93qupApsqu0bvVlKaqxqhIPwSpMnH40evhFMz7Mz01
HJTHZqzWLUbN9afJqU2R0WnEFvt7cuoYMuEdNEpiNebFXyqrNqCwdYad7yrPxxNUm/LaQKdIyQxT
pJmHGcTJUX0wLKwIeZLej8LXIMU2O5sAUEcbF1ZTrsfMnEV40eddzzDkjxRV3HA0OKxJdlxffRqj
iuJfXf4SoRo0JMuO7/JTOxr6YMMux0rflpp3pRnFVRB+EpfK05fN3meluvpTaQSb3rWveVnSrDwa
k2qhJXbU7gYv3rrPPolJNX25rb1tUGntckpI9dNxy7O5m9JR665+TNG+fJ6OamQKD2yBnp179C4e
FQ2vXcI4g4n1PhvVCOIrfksJ9OVfykZtNB2L/rB1qggJzs9gVEE88pwgv37zRzDqUOMkDMXpWzCq
GqCapL85zzxg/HO3HK87lSQJ/0gqakgsRuHfq0q8Q7H/aSJqV0bR/ZdhqCG+uYvDHNTIH/StrMP8
yfxrWajmIPyVTKpiIfXRu6BfTOSHUf+lLFSPXeZS6nlwU0ituhpaZkkfA1EVRX3IvVs9tpJs/m/K
REUwReoyuzMJPK/TH/96MKps4DebFspH8zAdFQGseeFBpoMpg9XivzwiVcTGSDCkG8NS/J+TkZoo
gf0QFkb1FzNSG6tkTomw2vjfjNR/W0YqOM74unQq5N0hu5Ivg1J9negFxhn/xSmpumh6DF3+1HPH
bYMwrjxzigGsmyYChql2axQzXUQEvVNQKEtI6jLAdG02Z15dFacgTORFaLn+kzDzPll57Jp8YiUf
S19Vl6XhhU/Ie5x78OjVluTlihlqVNvmMikKuWCGYZ25TWycD0liUPyQzLccdMU+G+GxgBQYAvfe
Zn64z6SWNHh9XHJfRkU1N6lniiuljrVrZl6MDpW2egVoiztAm5T1RRKQf2C5Aw70pI5OGuh7e8I9
mOd6hameJ7n0Tgudqi/UlfE0zlSzXSlgws67oelOyLp0t13oIrVwtPRe71V1XzVDfgJ8Nkf0PjRT
1mcWSeLDbDyEWujsahOEptYa5ZTPoFa7RKm7PcyqvWd2NKnLqBzOJR/yHfNT6HEMu+aVWWmXdURS
dOBX6WUIIoXp8tDr39oqYvzYORZ98Z7IV4O+InnRWccUt/edq6Ztsq2XaiAMc7taEVUcnBWmA57Y
xKqwMokUGRcYWVoCEgdfYRVOcfNRawUkNblEXg+aWm+gVeo7kiqzrU8mTzRvK98wNr3h0LrH90Am
RBjQri+xPFozIAKdee/QiFpNwTdLp0EmWpXbQXg/QklCUILEhEmwhw0XdbA/a6S0SXmm+ztHLuFc
xDh979BGuI8qoT+Q2RiOKwmpAfMkUPn/Mz72z3AuNk9Oml6kZpWtpKvWe0Zg2qZuyqdST7xvpB1a
qyyBn1Ya6Zq6CBBGVKU7pSOQm8iplsIl7vY5uVY3ZaAVS42h5GNIVDdYgnGobylbp5MjCuQ08F2S
F8yG6UHvKM4dmSOkEYRaLiiZJOp/KbKFM7ThvC3V7MwqxmBXWrHJNocWWWf16S4njWatR5k4E3FB
EicZRT9wvWnugigQm3mmSCKTQJwOYVQyUoGf5V6PlzEPzHlAtslFXBoF3uO8FbPadbVFASbF2WtB
4i2NKIkXNrBfrMR2CObT9L/rPonYKQiOc1wJrTVvSIpbA2XDY5VqmkOQmgz9ecJwdpk75WjPfNHB
7qvUDXV/uyfCBgerTxYyM+xhJ8ME22jBLfDCntYJggA2wigg5rI1w3pWjFqz0Xhqrh1NIEzqMHw/
9R0KmYLSepwVU/IvEfIOep4JBYfvXJ4TPUL/MISUkGr6tgoK7d61JGy8jH9QD9N5yIXmXntaZD6h
I1Hw0L5JsTocY/cFyrJLchXSZYU9EkUJGqbZoLgIPv0KVAzWR5JC5kZS6udkDDj4+mqxc90+WWIh
75djHStz8urlaZVa6VnmdRW70O5ZD0fi3+w0zE6jobCpzoDCDROmxhY02oj1MU7BZRO/YXbttzz3
6IoQuJvbMw1a37wgr/kFAxACXzepn+ktn1qVQta5m3rVhU68BoVR0O5zYCYdaJN++FEyIqFMG6zS
xH1XEG/fe6Af54zEDWaIaHpaDSb1aT/AT5w5Pk0v+hwNneBSGZ40rXV+8oz+1szq/0/dKn2XP59G
Lfyn6OmTQRR/6A84PeRkRko2ljyseJPv/Z+yVec3DUUrBj165IaBzuT9IIrx0GQaoGWLxtzkD/0+
iNJA2sNPA04vnYnk969KVw2mPtMkTHISh0r2oI0zjdTUciMRAml87GYyKHe5jJ74Qq+dMD3ihzjo
SE7KUUpJ0+KKgPayJg3v+16Spfj0YT10O/TL7VnTpc5DUFXWGpZVf8Qje9Ae41AcAIesADOKMk4e
tK0KtZNtMJo0+hIAvGHnzHuD9+K7m33xs9v2QZn6oTdm/zwIvEiVAYNp/nL9ckhldlwmIMl5Kdel
9mgRbId3FIQU1OSvj/XpD7JNhgmA0ejpTpOGd324kpeEZ7SQuCmsy3N0n4Tnxmq4/X85CppoVgQt
P+dAaUtSkJ4pSlVgYvNXdoJmK/Wz9shP+XUZ0Gac2sQTpQ7gw8FB6KWSHRnQhCWzt0SgU7yiloou
VK2PjqyCz49EC9MB84Eb5WAVwAceMtm1BXkj+UmHrMVG/oWmtrj/+5cNpvEfx5ksI+9uzoAekKFk
U2wCfzz1afmTMlKuvz7G4fTxbbWxAAy8NdP9d6YR4LuDhCltg2QKZFF6i/jj+7gHV76us1NhnyHz
XYKvQ7VzxX+14ID4t43jLb8+h08WIV86TTcgrdM+fwuYeHcKGR8pvC5lsWF4jjyoUchg948ZrD8/
yDSwYlLj/FSDvzuIZifMlhDCbYA3DftwxCUI4cI6//qnfLI03rxguKQx3+Im/3g1+3JQTJctzsaA
+lq6HXyseheD7/j6MJ/+GObFvx9m+vfvfkyvtcJGx83K8MKX3i22bWQHR15Dx45xsMox2NtaWvJT
IFYt+rQhRgxD9ZEfcuB6mlbfh+t1sMShAWbwgjhII3IiKMu0mnlIRHdorY2lQM6w+PrCHYwufx7P
wqMBDJJvk3nwkuilEw+lpvCjol2VgCjVT9vqvkjOhzE9j/ojX6bPfh2jahzq07GwmXy8TQxYkH9W
RbGpCyM698sw2PaSMlEpitdGluqRw322+FCfTJ9cOWkvDl7mquJ0Y+OSZRGabb52I1DerRF7j7YT
gC79+kJiTePk342KuJSO4JF5e+mq5mR3+bAGC0KCFTrJ6SYLA69Z1Jkhtl7focXPuzDp1nrWkVvq
16rdzURqi8umM18RgTf3pa0nS8UpszvdH/xkDgZPtCBLhuTObTJ0e4bSkVuh9MBqcDHrtzmp6tux
r4tt47pybVfpIGZFN3bobh0g1llk2+BDm/wubAwDva7dnAr0prPArx9cZnNUwGFfztw+aO4GK3jt
GtVcdjLwz4E4VVe+Gcl7JyHjj7HrM0LvGh3WYF1plvBWveUS6BXn7S1ehAQOnwXQibiWogVfuIaQ
+QAqN6+cTTzY/tJoi2wWVDXHtuNkGQSevNFcy5nHFnEJtAyLh0J6ORHRblLcer5iXgk5EPeKF4U0
9Si/Ljo3OKUR9l0xxtlQrHqNUVetkiWcmVepWUDY1VCuj3Vw4SVXQX2CJ9w4GV2oo7NWGy1rwalV
5gqCbW5tq6KyH1DPvWqUuMO8rAV/acLuHzF16IDhIVk3gd/qBc6DMdjumpAFLMy11Is90eIV8KPo
GTpeROR5y1h9pbvTZLKYbNE0rH1hzij1vQ2RhsNCb5V03ivpXdTBVyog0jJ0WxiBwaXCnd8j/LaT
eoHeZNgZIu7u1YJKRZ0e8yhUUdMXgb2P7C5fUoQ4y7wj70HW8BHjvoMO6Hr24xAwvuog9xJbHr/A
xc2ArrnZQubU4dCk6pz5XUc00gK3AQYH3i7rwo3G58qoyXUnJUwf16XJXByDj9c8ykqQMAy7MJPz
UHfL8qT0HH8VJnmz8r2O2b02tLdyyNKtnla1mBejx5gyNuP8Mmfs/egNNhEa7hgQUqYhOr+yqiYj
E6EUt5lKTQ5cvtceIxeu5q7vGuWRtpnJKNsEK1M3babPcRZYl4zz3MWYW4jOE9MH76bk+bZzTPW7
Xo/6xpJg9ztHPLZdR95WHV76OMfOUsTxyUzrYdsbiN53xVB2c04w3BdRPTz4YUs6WzoMV7YZ9XCK
yGOjXpR4jLY2M1MyXBMtrxf16HToln3ZU5QroKmPvCwO3oM0zPBLMhZ/o4TT9z/YodPsUYMs8dGr
0AYB/LnuSA+YJXm6TNR6OHKwz3RwH46mfXwxJUFq1ohISzg26TmpxH59n/nR9Chp/iNclZYYuFQX
DyR3HHknHnxdfvmdB19/zyPvOJ4qHwr/4UfoNoRgYNR/7DJkEgsbzd6cXNWBkGHE4/4wS1Xm3gMa
YCLx0IxXDKsiolfgR3ooQZM4Ycg8ohknZOTIx/3zO8IEni0VhrvD72BJMCXAViQ8QUUyh4FDfuE2
WI5jeBFm11tHDjd9ed59K94uDFwSSlXNQaQoD75MXaEAu8sMIqficcONEP64GtKV82pAW8SDrGfH
voWf/UCKAVAoQjekelhyFE1i67mtFZtSs86NrErm9Go2mPzshZHI5ZEbf8g/mBb4+6MdyCbyBqNO
5+kUODbx2GC3/i9nZ7obt3Zl4VfpF2BwOJNAo39wqGKpNI+W/xCSLXOeZz59f/TtpK2yYiVBgCAX
vjGL5OEZ9l5rfQkVuu0+bR0NTuSys1h6635uPlnxP2CvbRfmlEgKB/IT4+TBEkjX6P1PFQJSLGIW
zBErFZx4YqplFXtXWh671Zgc8I/UENMIb0eE0UpzjSh73Oxw5+uAr9lPoL2c5cmdTFxEgzNrEu0N
aZqsmw3ZU9V4JaOTaKL6tipWkoDPW4KtnowO4TYiDS1oGysGCdK2sa+wagQw2/rzSdGZ+GN07r6V
Lg58bA0jI9AcSQJaLVWbZJ607odW1Bb5dHm2nosk2nI/ZWnTZza1nyj6Nz3r68txlDtgmOEnz+83
QdnPF8deELUs9DVyc97PFUQa1wqpw23AwUblFtF1mJV5wZTRjtIt7ysjl78gCj6We6f8dB9/smPb
vgv+Y6DiU3T0NsbJBhEiqo1gPB1ISE0gSEPbJWZO1nwx4Y36ZIxu097JN7jJcvE0Y5wWDPT3t1or
YWKDG+0DfK0Kx9U6XS/oUDd+3E5fCjGVrjkQ2p3O4KhNS8z47OCEGqWhe0hnu+DPP+eDGeHdrzn5
YoRooFrnWh+UOogUCrHD6ubLkx0mrt7mVFHlw0KY058v+uHjprxFVBTnTTSkJ4+gLnXmVi4amok4
JirAex3fldfIfLp/vtRH96doFCKIU0OraJwseQsJX+1W8yArSDTf15jdUtHMyz6NdQFoXHbWytJc
oUT6nsqL8snVT85uP8cVkSRbYAZYO3E6ribCJQmqjfpApBZ2g9X0hdTMnzzN7RWdDqhNxYW4/S9B
7PunKYEtjO3GbDakOW0WQhr0HP+YgNsV1/F+NOA5sin/JOP+o+Wdb5XYL8GHQ5XzZJHFa1lwkLKA
5lnxeVoQX79VRlokuPjKI4d0+Atk1lvGq5ss3D2mms8OP9s4+e3OOdYZ2y8g8+bkJ8hiVJRItVnO
iOWFKzPsyNUyr62ULd2YR7fxYPWf7S22AfPbNanOQqImX5asvPdPm4NRG/UW7lVtwCcdrWN3DCmL
BuGWd1sYyuRNrbk4I3Ow1+ZSfGgpJDpqEn1WF/hozqSCohIzpqss56dO/cYGvJ0m7K/COLSgFqo/
9HViS5ewc5WuZZFvQWA6iYukK8drC9xIcGwQsNf+/Il9NP4o6YJCoQzCIn8ydzMb09wsmLtHWo99
EkFpio+Zpj0Rhq559SAf67G///M1P9hWGL9c0z4RxBcJDb4QsH2APN0dpS3eZ3YSVVyu0uHPV/rw
7sgUorhNgR/z/fv3LbEhXGOckgF0ykeYP+e2We9lNhELRTkcyb6p559EMHw0rA2DnR9EHZv+wMmw
HidStAyVQnojk/AK4Rqzo5UUXyBO5ESuVzrMiil8/vN9/hapt62BJhuhTc6N+PT0e65j0ctx2vMa
JRWsAMbPL4ZVDd9i+qAHYt9NjpLd/EQPTfHVsRm8NUkyL5bZ7gxlYjqtMn4zwbscs9Ju7wHiTedi
QFj555/50YxK3BdVFexEZC+dzOcRzozQrMc2SMdKbB3EZ9PMPtmNfLQ8sThB7iAECPDwyYDGG6x2
k56jq0ekt1S6fUiaVXNWVa4/mU1+nrhOZxOiJukhsWuEP3tyqcJY21ntuzaYhPhRxh3SQsgl3qJp
0l5F9utgckw9Na5zmq9V6aYSCUCtddNLfRqsulmd6Svca0dT4GqsqAXQoxNgEfXqLl+z6EtkCRO1
qBCf1Fc/+P7wO6hEFulQv/A+vP8qtGiwiQlZ22AhiXcoy1dDkDc7gZmc108Wms8utY2IX2qsi439
WQjBYS5tKIGPV8DTWU2iXvK2Oe/fHl7cl4lGmCaWLrST4TUXhPVWmsLXblToe5dkAy3k+vWfr/Lh
LSFrhFqtyGx/TuYUlbNCmrK1D8Q6bl6m+NqkQFYW1C8IOfxke/DBaN5W539cbJvgfnl+MCWIK9C4
WLIpEeKxvLVLimSy1n3Cr/pgpnx3oZOxTGWFbFqVMVE0nb/NkmWp+4bctV4ar8JpSjIT6/Wzkbj9
rSdfECVk9tPkwljkxp6sxwNZBzoNuTYY2uUphDSBF37YDwtMCJqwHTmI6/02b9lWIj55sh/MRewC
LGWD1AIQVk8+gqRrVDsejC4wlba8Ko1ouKda+R9slt9d5WT8G5NdNBZ3GKQwJQnQRKTUJvJ1FQ2f
LDsf3Y5Ou5MjCZot+fQMO+h9X6jAZgIrI1WTXtXTWKj//vSNqwEP28/sSP7H+8FoV42FC7vlYwYW
2sR14YgZodifP6+PBiIdUuyC7I4wN5xcJKcgvRgGQyJvcsNleIAdU8tdKfAe1Oqu4qBFECJJiP/B
ZYmpMrauPx3+k5GYa7U2DaRwEFLcBbUi30UpJhKCC/qy8aMW6Ra++T9f8qNXtr0sQ2icpUjQev84
rbURArs707CZR05phi6O6c8e52cX2f78lwkkm9WJ6BmW3IImxi5tlm/xMsifvLOfHbnT7/hnL4i6
pK38tqIQXrolN8htYINg8lpOHMdClvvLqJPNp3wYrLtNFPhNzkBuOV1XSndDPKG86r+yNbmoyIq5
S+1W5O7QFnD/FhHeontwuurCTjzaHt81fv6ZhsTKadP4Su8v8k3Ohl9rq7ttKjIKH3BktNC4QO0l
ncciix766i5P8bNlKr6IPrFu20r7Pox6D25oqd3WLKxdVsrPJMqMftRVo19xmPbIA0mBJusXbNCL
i1wdB183+/B60LpuV9XVsAtJDTgL7TQvXPZyGLj+PDB+i7FmN4drVOh4mqm6yacN0LzQJpHVUh9Y
chN5UjTET9xk9GKHpnbZ9VHdoUXLZcVDslF5VTirHnuU1GuMJgQTBhaoLgGqpsqWNDBueo4kMi/m
yAZHGmGJ+PPP/WCN4tdqgkMpHSwWxfdDLO5SA+tRPASwMDy4Ba0TIe1zVOmzKRtzKH/V/48zNnMU
ARSLmGpSJGm06yejuVSpeACUoNOiDJlwkHsi1EK+6FGeNw79uhayE5N500WGo2Y6Bu7WUn6kqVF4
Ua1EFyy18Hz0PtovsRBOBwl+p0p5d6G3qZo6uJHgztmRM2vlEfsGpyHs6EFZRbeDGV/WxJE4CjzU
IR6uIK85jXbT4Dx2IwvZGOhbb7bWqxpql7Xkj9r4sgzN+SjVmauvxTe8rQ1XlItD1cdDQyr00oLT
aMceNxsc+pGyyk6uMOT1U56T5YQ81TdEfBvDxPPTmcxbvUfrWQ5DuQdUQDU2KWYpdHOrLvYgwpSL
rp47Bx2vdpzo7GAIsbJd1raam+bta2l2XYsxGuV/KFIc7VOX7GSqK+fpTPh0qBbjvu3y7LUd8+K5
j5HmzroRkoG6dLuetK/EoxWT7xuqcLfTSNylPBzsRP6+iInQxrlUn9RCaHeDhOhxnhPbXZX0Oo9E
4VIoL4/0SKznfqVqL8YyPcqFUr0MJP5YxLbU4us6iulbXZKHGopcPu/XaZz8NG7H12hI2r3VytF1
mgMMqZdyJJy2aFD5qq0ZAY3IJazENgCo14Qm5zlBp72nWlEVaMvKkNTa4W7usulYWhLZRZRzNtyV
GV2GbZbiFtKLFJKSPb/kRSdeqiEbr5fETClIVLZ6SfjIdF3EaXmVVoOxuBDDO/wzQulNChW98EVd
icTll6t3JV5P3WkM644ziOnyCdj7WZXXI1zc5LFIWgzgZH91jaPAS7jF9avdYm+s8d2yBORNP/p5
ChxuBvACR0JUrZ9YBi46QnygHi3UT+MaUo9eydl5rs4JaUyblc2YJISI2eoXmVrXwCIoT3orMzID
qMQhU9j0EpfpdWxSz0wac0/sMglcXaE9Dktu35F4E7qtsQBHsNXovJSy8rJpkziQunW9MJgRvVay
4i9DFCY8kOirCFExgA75RjxS+mh02Ot1rGgkqZBy6CQL3nEinWZnKMeHIsVvVPXDsU5Sw89yZT5I
U5YEsTRI+7bKs2d1TLMjbRam8FGFwLGsSUT6vP4GhXq91IZmuOWgZPRuPygEKZk5MgqdaTdS5Mdp
CF+WBdZiDJIColFpBoVdLWdhPsR7ubLih2yWi2NBj9xXgbAfaimf/IoSph8S+oNDa40DMfbmeTyZ
yFlG220xnzryOt1oaryTazCdbPPbke7XOhHEY5kGntnUeMJqFH/tapqeBjbGsZHMnTVP2eOksTWS
pEnbFYlR+uYsYQC11xijGdEEwE7AXoJTNChzOVjhnuI4lK9Al+hXca0aV7GcK87UDfZlBBDcXW07
uYFuSLV/qC1/Y+xckEBjEJUT0pOHwsBqUBQSQdl25sqrypsRbdcm5K832bEj3ZKWud2bXjNLiIo1
HEU8/2hv1HJDtrNWe5VYX8e5HRanqMC2lOS7HMDohNeSUoaPHQFgmdPrpO45kBwf1QXErgNQbX40
w4i4FSOLhenoi66/qJlB36vJ5RjjXUl6Uyua5nuXdctRKtfO4U9Lng1aRgmLZ9V8azW7OINvJgHA
jqT8bouG9Lp17D1FvSR3aoV5vhg0zEvzWlQK83rUUdpzxt7CIp7HGgRZwoP28miuiy9bZevatH7f
GFu9n5aV4gz2GnkL0VNeI/L0LcrkZa+3Spk4lW4xNXci/tYYMAiRVsQXpNqRrLcKYCbyBEyszOjJ
cDpSvpa5+lZIeXZMJANSGyfb26aPYc/bQ1mcpSpieqc11H438YV5+pKqKo8zI5ucXP08wCQLXmgF
Tr+upFOVU2cdOmLNj+lsSEdIn6NXLDkACDPG6NpOnZ8Ls9qXME3cvovKs6ppGy8X7eQ0mN9vCDhe
HiVJU3DBm5sB1MpnuL1dezsVkuazty7v5BJ2YCXFi9vEnXJWa4QaRtoWrr6kxr6Pl5EsPwMs4jzV
MAeWyhOrMe4KojScQTahAdBrdjPiGB3S++LrdemgchFoWob9a7RQgG9iIfnAA9hXXPUySi0WQFIZ
YxgCRLlJMRyl2y6uzkaJJlZlvarl6yzZM1qBw6ia4ZYK6SuteGgKlAqiezVkcR5bNVEMmThrreVa
jYJylR/scnIJEN2heysOcE6RkKTWbs3VCRFA6C2q7olUn/ahNAUUTg/LbDu8F9psdfiYF7lb1+1x
ZU5nM8jkUU1XoVFdrcs0uVNsqq5Uzw8yshvfosQa4BjZ5nbpcS6na6vDxTPENzUqid5YduS3t84o
z+2upwrhKHIVTDLCrlQsMIr4WOjm/SCiyCsG5j3kF5FP3vbi9qK5s0YaCIYOFWEuzWfSvHBpw1dw
hB2fL4j96dhM3mARRcHctK2T9fUaxaproYeZ5KR4jIvpoqnI1JoVZ063XDdb/iGP52y23yZTWumB
2/dpDfdTgtBZrGh/8B1wcHyYNZl5Olx9S4edVpJHOnGVwUAX0hq1h1bjdg0lcuAqibBlsvWLCZpw
mF3GMT9FipOZR4dZKV/b8VLvWsUrJ2gpyrpcr6W2N+Z1P4bZ0xStN+0gvbFxmom2TFVHE/TJpOQF
rRLiCdtgvdabb9NqyN5G9kZq7FdqG35hFBuoMlRgksShukpdrkSdKRusiTZTpOzmsL9l60a2Q4z1
vyGqSw3CeUXdn3lSFr5OeXFtZMV9C+YQJeSwy1P5KupMwieLITO8OK5SRzK23bNM60M4KIdLYNyG
srBrUqpqn7IHkpyizUihM0SvPSKSGmRvTbfQGElvbudKO1ctdhKi8YCyXwyr0vvC4sVLc5vDdyo1
YHlaiwGEiDCUJ12gJUl5blnD+B3EanK0qmdoVTZZDHbtLP1IX5B/9UqDS3dtS0uzZ+qJMZlUpout
tSMPXhiM4rw/RBauHeSl08QMhdOceARRsw8y9roUMbys8raWOp0is5VUgVEu6SO5NobPoafB9xBK
3izEcL9opn2jYrxyTUJPnyQp7LyRdDQETUoc6KmZPaXZmMD3NS8jIR3Gav5BI17GEKa0lt/PbfKQ
E9XhFaC0jzgO411ZdPg2yPUDR8WGYXGkGmqlo/SGRO97mAwUYVrjRYNFIOAqXFpcHEWxIu0mpYPw
Jw35edSF3ZekA3FeJFjnBkoE12apyP7U1BOfp2LdE9rBbr1SXGalB9HlsWv17XmqJVdWXqAbamE8
QsVMnbUktb+XomgfjrN8aM2JZppQ2xd2pTF2MuRom87KtnekXXy30+tKK/HNRt9AI4wBXPVz06yX
q7Yye+JlMZEYIxfTlPCC3ewDrvSHVZpaP6pqHC+FOl2higVhnMTWvVRpgRELmldSd1ckJgq+0sru
BsQTwchAfinNhtxSZVYDuxLGQar1/KxIRxvJfdj5WassHhlrh3qZ12fTgFWulIvF7ncpbvCgTa65
DDjksFK589yYdyUD8CLM2C7uFdploTBSSvimZjnzHKe3ZsTEUc49MA9NTm6SmixMjC6E/BLnEvw8
Bv5bPpN/LUX9n/5b27W+VfXSJlHcd//z3/93be+lf3n3D0wDSb/cDG/tcvsGIb3/n//m/xm9Vdu/
+a/+4X+9/fxbPgk+w0mAn4PyjEyFEgWqtVWV/7nr5PalRHfY/peXjEmXVOWvBpQP/6p/RKgTPs5W
jZmYXB7yPP7hRbH+RiIapYCtFEapyObI+/dQNONvhkpMGrgOBZaUUCgg/d2Lov+N9iyqJDKjZRoT
iGb//oiu/zpP83T/emT/98+/eilOakgfPYFfa0hKtUiKHMIIDg0F1jl9Qg4Kvzylf/USW44bS6bx
ey1MXdgMG+O8BJjWgXcpN3FmvP35Eid1+7/u4pdLnNQOzLKY2nnGGhkhvakS+3uisGk348oxjdj7
87VOSiI/r7W9K4phpkaF+aQkIls93lBVA6hQZw9dlR/VbmNWT399cv/0xegnkqm/roPqRpCXQ1/t
tBcxhIU8CXmaA5XM6SMhLkc9Ll7MYQC0B15csE3xmorsnqy9NYb5Pk5ldwi1PVm8R2oAL0OuXFgV
7tqKDc4ySfvITN6AkiEnloClC/l8hgveWZz2+za5jqX5dujG2S2bPnEtPLDSJF2UGzBsSqjCZZyc
PEldD2Nqfq1t+0uCm20uayorY1p5ZMWzqBkH4n8Il1EN5BucuGihNt6iy6lb2vJdW9bsAubwq2QA
M/6334qtCD5jXoql/paXY7ObK61FnwN2h5SXO5nakXW+pJ9KNU96wNtrsWlv6gQ74Qn6rTFoq2u9
9I01Ey0W3+kRmGQ7tF+tQvlCSjYbjs8qyR8MbYK8COPEU0X/91SVNOncwiqFc0Bqta+WjVNtBOk8
9/Kwd//8DD+YC2wauIxp+mv2z9nw17mAkYDadagXhCNQyOsxqEz7k0t88PGgS1FJYMQatNnN3tcT
YTQmE5F5S2BN6m6G2k5SrUPk9ietydNQw59vSeXblBE+ULM+LfmL2A4bqRBzUA8k7nRVc1XP9T5C
q00XijM/ELcfuh17CUBMxnfqDtY8Qq2p3zpRXFNLOhpTvqPVaH1SUD0Vh/z2y7b3/UvRvmqxdPD8
GT+2fda1VFRJO7ub9QZMd7+4oQ75mNrFIZJpIc/JQcs14m2q9pOeyEfvmlWE9Qc7BCSskwaFMipt
oUbFEqxGjdxbvmPL+297V36uXxqxiFvTClnI+1ulZifknMpDMHf7XNy05lVcWru2Nz/59j+6F+Ri
P2UHwEBOX/ZgyWReoc2mcryTksCSvvz5u/ho0GpErJGNiYJUO+V+xlO5tn3TLgHU7d0MQEEKw8tl
Mg9/vsxHX/qvl9kK5L+MjFArVyueWIpz7ZvN2a1MGmeoCUaPNP/PV/pobUFPgi6LW7LJiTz5DGVC
oTtZ4+1zgLtA9IcxoNAvR1FsM3pgKezwEwSqtFAPUzPfJFL83VYVnNpaQ4a3tgaz3B6tRX1BuH7b
Nj1x3ro+QD5NSk9r2jcLPDbylMEheeJHJ+TYsbvx3LamL4MVXSeK+rVZxz2MoodGJhBMYFvE1jbF
GCRqYm2iG7bNiUMe/+BTUL2oxvq1WeIjnvPXuLB3eSQdCF5IiVsYHDOedjBhI4d4dk+VPpsUP3or
tD4g4KBfRoBwMohzMWRtWvFWQHS86WV/6IlGcut5psJTf/JRnkr3mBxMJFk/v8lNmH0qitQJR0zi
NFyDdOAsbcMzdmt9C9qSg2judlGWPFEpxulRyS89Ag9tksvPxgaj7P/bMNs+lp9gbtpPlRQ6/dTw
qi+DVlRWJAKqTEey1HxYvvvcMD+ZoX//pt5d5ien85fB/p9e5vfVGps16mFMz+QPY4J+/01FcWVQ
rkl4e1S86u5G6g960Tl5t5vrx08+qg8eHKwxdoXK9l+nAyWRa7lCQLISzz98KzNQH0mzCYXtf3u2
M7GvWcxF7AkNdjzvb0lu4pET/rwG9lA7mSKTyvEZN/b3CZVLbAI3NIN42E7FT1Paa0xE6wpqrf2e
NQI6+WeahhN1yM9hhieANGb0iSqd5fd3YUZTuxDruQRKqFwkk/49GjHGhat1NRXVF81MdwTEyG5Y
5fUnW5APP7JNGYU5j8XiNxVZH28Bk9B3Azx0QM1t2U/lanTtXNslxFZQ1BpLP5fkMyuPvzfaQsld
s378ebB88ITZ0bEFwpT/Myv3/e0XaWPjkKpEIBrlKh6zs6bUPtOnAOfaVvF3HzPmh+2cgiCMh4wg
9/1lFMr6taRZQ2DhG9XVymv0nSy/dS0gBFyBwxTM5Y6OmaSeG9Q7ckBF8m0oODe0niU9ieUlKd5S
DIPtfipvpOuSaHc4z9FrgzOJwmB4LxOIUVBbVuarnLTZIRz3P9NZDwBPz1TVi+0XO1nu8qE8qiWV
ljEfEj/RVmCzXXgwJTAFtuEZCkcOdbgq000bCz23kFWKk+33ZuMnh0/iR5wtXj1mrsD3vGITGkR1
NOURxLrmk8W7X+Tcm2jSFHrCp43cYtq3c+/Fw1tDdvZY2N3BzoqaBbUk0wcEQFiCuQhkiV3osA+V
2im1V7GBKLo6MCHBEw5EdWVhd+9iM/dq6aHDnthq4lhvsAKJH6mXIojrcWeDQMkorcZq61REBs1N
eW0qPZVd/WZSivNmepEy4VrcdKfsmd53JXSc6BbCwhpnX8JeuYXfBUidLlSFI4SCWFBk2kE2YmQj
F0b1PckPXfiFaKbG0UnrsZX+oEjiMKBtoO3p4Ap3m5SynQFspApHUsNpb0wG63uYngm58IuRZISO
3lMh7MOoZXvRwtNqrcyjBTa6qQZ2GUqrqe7iyrwjwn/HEHXVWvLYPjxkJX6YtaeMjZhQn2XyRE3z
MCzYEsT4RE++SjK3kaEUnpn2hUV7WB9Tv62vYkQhhEBdNvXtFP3ownjkHNn5Bj28pQPH1Vrxvoel
PkccM+ushhaQ3GeJem7HpMfFfoH5TdST39NlqIlw7p7naCDbeHyINe2g5/d2ppGXYJ2jb90j8PB6
qnJleG/KmptFq1u25j6rz1M6phq6s3xKnIgBW800Hu4kQUutr67QFwc2DT3oNNfjACxibQhvqe+Z
H19D+xzVoafo+lVP0lXStLXbjZXfg1JakivVTBJnobTRWeulUa1kIyG5R56REAPjqdShcY6586Ri
DQIEsuyisGeAN/5AKbOpqLOjkKkjT7fuu8jnsrr+HFUID94aSoGTcYFctC4zTuyzg0HM7ypXGy5K
/SyMvAGM68haNsJPU5vXZbgZittCCqwoSHSnjo5qdRUtqk8Sequ/RMmFUrvNS0FSDWbIsT5reGJg
jWTtZZnPtIgieGV5cXckmcTp3tpG3irrDorjark3MhO25U4uXjrrPtpcu7QApRin7gzVl6a0el2W
L1DiXEW50obQqefItWzPavYRLKcsrC/boebpgNrZUq8UkHGlqw6hG5U4RgvZNfXzmRdtJssZ6Z6B
DR47nc2daq43enmvEEMqhkAyD6V8rl2mmLdbRPytY3UhSC2yTJKITsYw1+tlL2dkgEoKsUJ2jBu5
eUG6cDFGoR2YtcreqYsKNI+rN+nKQ9fHudcXVXlllrWvzMv9oGMFh5d+NKF9rGKsgga/q1dHReZr
M7CMxpQzMD0czxKMH/46JM3XYTLP0AvkTj9JwCmwl43UUhyCsdczaoK3aZ5GO2pKMS0h4NkRp77O
FiC5dH4hZyefvxO1kx5+l/Ue8B1lkwMFYuILEnN1pVTxEWcN950hPRP14lradZt0x1Uuv6aK4sfW
ul52awkMZhwGr24XP6bOTDO0w8tqyq6YaSSOZKWYTXm3guKLABAAZm8XV4r68VzJEsmZ8yujVNyx
x2BZFAV8sVKQGVYGuID0IO/JoDUSJXYBBEElinfCCB8j9cZUupshzS5TaXb1hqdKQ9y2kQiYy/Ow
xDOZvmjQlzSRvAWlBdCT2ZkY1iIaLY8iwZMl6pdZltyplPsdDO+ZLb92q7RMVlmvHDgzzAgcYqL0
ZuKJIUEd1wVvQdVTu9q4QHD4NtnZdVhkX/VevgEUxhqu4+3okvSiDYdDGvEJd4mWeENiec1MIE2p
Gs92pF/k9XJtzOqzGL/1enKdNs1jppjHqSUk3RxVR2makRlv/Kanbe00eJbhQrGedDo0rGcM31+J
3mIYhhVT++rWzPhZLY7zqN3z6n6go3ygPPi9awadVy8dK2ndq/V0UWR1IFXtVW3oO8XsbnHG7HK5
ceN4fS06HVBhuTJtQawbxnt1QAQm1JqnINMmhvQXGcUXeQFd0XNOLPgGFjs/t7LxMBdJoJnDAQxc
5pphc5wa/ZmQ5ZiFuDzTh/V7EWoP6sDPW+z7hd2xaxTqfWOGZ9WIpqGab6rUcEkV/xGnBk1iSXmt
BVKOUrleLBSM8hwGBQpvWWZMzXapnle2JLnmJpPJzG2pjY3QT+3pTvR1dTa15W0VKY1by9LeLlGS
LNKxN7PYV5O5RNQ2ENCcT8ZdhjkBoBZCyRSxMmotdh12VsVXRoW3wjStfTzQfqUPfR92ykM2DD06
geq8KKrnMmayqGRgWnJVuKjtCzevi7tozl6rTJyHNvKvoWsR/jX1N7njw5Twb3iR1rXwH5faN82K
fhLoNAI8rqWuzEkuAptMLx+HqHoWS9j+chq7tToTDlz2wsuHfmeJ2E0iZDUE00fNcANrr2AmVD1q
9r7C59LJdHINjZGotPoIdN46tKvBxCSzathagzVj0CdSvAeqLxNlqqiVXI4rD3GvPCp56+oyOoh0
sR6roSs9S55QOSao7wiR2IRRXsK2Cpc+uJKiPRNddpCgTrPkGDspjB5yWXrUR9uXC2ps02o7sl6d
9e3U+AIccEeA5UBhpk7zayWUrjuRX3OyP0gJYHhtvUbNdqxbiTN/kn+xUnGWaNwdCoI1TXnVkhxI
EzjPZm79zAh3ioIco23UL0PJx4n145jG+eA2gky5UOJJKSNKHWFPxyEl2ahpaDdnEX5g9EjsJko/
1YnTkayzKB5vynx9i2L6eFqax6wl7F+16EtRqaUDXpAJsQNfhrHBkTokYnWX686kD7TYTNr3VJuf
4hz7T5q5k7AvyzX8okVKii5hNPZ5rUDHyq9CvTHdxKCmQTH9flDZ1s297qKwecFmc6UYSIKmXtwU
anFZm32FGqJ90ps0vST9gbBJW3PLkg2EWam3q9pxNeZoPfX7xgzMMr9gPz6wo1keez2KXaR3V4pc
3+lIAEH6DYmHwo2PSZcLRq50izoK83GtOqU9XfQ1qxDbXUQPT6OZPaYaket4xW7HbCx30PmaMz1b
R6dS5tatwpKkijC6bSXaf4MSLFkHsNLQIIU2ATrH11LR36C69a7I0aYR/HDIY5aXIarsM2QMIXsV
JCbhGEbAGttsBztcPmrViJ5wLF2gJ2hl82SvjyY8w2Jhc4Cw0JHa9bwQbCYTY7wPCW9JhulYlYo/
rdYFDNdxp2v6V6kXu2rNzjDA8OoYsZMZal7eC32P3OecDqcrVtq7YXwwetOXV4MeFGtiUlusOJHb
Ftoz8vcd6YxXFKXdrGVJwt1X9eaTFHX8eXbIFZWZDh1sSio0+9CFbVy8sm+Z6D00nFK0IYeVmb+Z
JsNUrXYERUGIS84StuoWWD+Gji/S8cweF3cd7RRhaPXQ6+uumGn+i3Q5xpSa8lb1hibcj3bhtQpt
+nVeX8pCukiK5UWGOeyUSxHIK3Haynoh82rdedi3dUtoyYzQRH+M0PlVa3ojpG/0yDFc0OMG7b0i
CCbqoT7vEmyaWlN9SzmCII74agHEGPpph0Vpn3b9d5InnknucUdlPJRNftcrIShItgvyxSB3O0ui
/c7etDMaH1HgMwTEfWd0PuAMD6mMv8qE/Rd7lEJe03xrFnL3M5CJU3abqYDPWnE0Z/kOqeNuBIlZ
pNnNAHdtQr3KsUMToOeE9LIOxZksP2NX8Wtj8jLrtTFhumln6vplLYKouRLR22ZMq5sSLDsCUFXc
W9a6j3t47euhKBofUcp+Qo6bZfbFrAvS+bvLWkb78WDrqs9C6ze1dW7V8m1WzsEwJm+Fciirx3At
3RhLh9M3rIc2n3ad+2ZnuprZ+CERO0sq76p+8YZe8ZG37fSGhydJ/0vdefRGj6VZ+r/0upmgN4ue
RZAM7+RCZkNInz7Rm0vP++vnianq6cwqYAoNzKZRu8pMQYog733NOc9JsG153CFiJ8tmUzt3+vPs
Xg3yULu43y8JJUUX3fWBBfXE0HzFVXuw++YYqep2JmGkM/pXMcU7azIA30TDWaXudeIiMJeg9fSN
E5WnfuDoZTisr2KLwYyywIOxbDCUHps0c8b7VRT72K0ezMw4dfYdJz6sM6sNmPkdbWJBJ9tbe30f
DnRnQLy/82R4bIS+lZn+PeBe7bLC3UvdCee7rWB2mc4iujH7JkT2wRfcHsbGO+stoerV8JqOzLsA
/BhWc+i96WuWTDcq7yRHkkDIwlURQf5UVfndUIiTuYa+JbkIq34aeG6L+FzQMSLEbEvUX/ZLpd6b
DDJ1CdC0X5uczQgihfEALX/jSuSeOiquxAfF6S+go4boo27kLZmGq2OqT1mh4PvN05stjE3hahu2
khtnqW+kH5AYm6h3ATfv9bBWl2xbOgohJLUvnHPbNYFSiJVCUyy8eY/bZjXI+AnuUSC7eN8rxgtH
Q6DNzk5vl5M+VSCCpytLU3bMvlvpl5aLal6KKxJgPzLVPfDSjTqqa4/TXBEkjBT+EltHlE+IcvQk
8AayK5uCjKZY2cqEc1Lx1m1SKStM+KD/0Oo0JePvhJwJvvzI/AE5/GQvGxo6pRqf0St+oDk+kg+8
t7T8YKrNQzQt25SSV8uHe+0/INPNH1U5HesO0Utj43vQvzpluo49arac9My8yc9KZ2Q+hNe1dEbB
YMAKc9P+Sq32JY01cgMM30vK16EbtuRbh47sb9q07Mgy9ils93LRNoVgt5Z3a9jH+1htmGc03kag
AdXVI4KlYObwV3RES8Y9qHm4iBpVdpqdjQzNFDGMWDBeTBAtde4FenS/hIcgF9k7D8JPby6XjBxv
P5FdGJmYqNMJTXCXQnCxlWBUlI1kexWZDFwVd1uPcs1LEC6Zgzd3OAwoqibDDMwhqRCOtSggJeXp
sjNGJvmTYW1U3le0Zcvr1PXXWJ+3bGbQUxGzKryNrS7XQZmO0GRCBy14LObHlA6HMoCXOzURKA6R
zS8rDqS3PrhKwjMx5au0ay45aAXQDWQdyogfHl0nKw4dlY9U7cKhhWUrvfr3IpOwGh8EFF6ziTak
rZyMKfoSQn83G7Jymqw/u8VCVbfojy7KJQK2q0+hoEDUouWZfDczLLsUsR4BppVQr6bKcGShpKm0
3aQRtrPYx0GiNmsJSZzyet3ONvJIQ1vFuRcqNV8ruZFjPxDhCY9H78lm7tqwNYtAbdFmA3BYYUTl
NivgkpAeEtdxmNbtp2aNCYJE1/dUI/BmELSkIIdqizy4y9c9Z1PVTo9FVT320IergjcgzqvPEU/9
KtLHQIEETaLxQajLuznbn3DnmWa154mrJYFTWkbKG27fEKj6tTKTtV3qQe8moZ3xTgxQxYUZB3rR
bSrCjcXorM0pDVp6XJMKhS6Vepx8zgUIAF9elPZ7M1fQVhOKkOa/mrb7HjuqSNcsVxJOM+ONaQ/A
ayer7h0aEO8iIagjU8BFm05aDblpNs/O0B3igsDjSM8zP68ICO/Kd6X9Njk5zF6dMGsjHFySEGbH
3gHZ27rTak5UdlHOA6XTvIpVeyPBBYzzuiOPGS7dKqYuSiv1yKBopRtqMHfKpZbdNo3so818p3Uj
zhbiuMkCztk00H7zYUbUEHj7I+5MVluafk5m71mFhJqk2iHTf8TUXIukvJq9e4Ad8JyiHMtzPnf6
r1g1z+Pd96KUj0rbfnRe560yjCwetrVVAbZux7SXbZomz5M+cfGoQWLG6wkym9PscyVaweiaV5ai
fugTF7PIN0vvXHQSlpj0yX0s9WMZpTujkBvyYzfDqIaWMp29UfpjI/1IMw6J1HYFMKzEoPwdS33t
FFO7LnrDJC6R2h+IRKBa5QleTbXFhVGHqUIdTb+oBNHd2TmNynvcZzeNOmk3WPl8HBzkdIORoOS3
TRMidmNtpzG5ocDzqKz7dnWPJcMg82vpHIX31lxW4N+QlXg1x9n4rS7iY66Ut0phjsJD2Jbji9o7
frn01yQxf9G8XsdK3jiIXqaITr92eYlMF9W7Wx+l2y3rfLR463AIxCuFYPmN6bpvcG++Zg+r12Aq
V2sc+oBlK2eaEqs7kY9fUxlvuoE/TklJSqM1WeVO+zIs6taOjB3taQXpjgHaJA9LJa+6ukw7zyhw
bXR4YYyO4gtpLCMexJ58sq4TH+dFbXDPGD+Dko1AATO2q+OZuLrnWZVnMr7fxZRcM6ai/JrdZVSY
1y2s/JScbEFytOSqMow12/sDNzcyoLR/06r0MufVV7UMm9m11xWDgSbrbk5pvDltvVuGgWGjyRjQ
2kY1oswi2kWDuyYQOaN4BDFTaGtafuawjVgrivLYZzy+wLCf3awhu6k9xZU84w89iM7CKmOeSPYI
E1nchPRerL7m/VoY5Tqz88sb1cvUedSDNX9NduZoWOfDeJ0NFxWvts1p1u2FCRr5IGV5z8KLLSK8
HO1dyPzgRH3tj2MWdEb9YjjuixxquR4BM/uSgn8TRwiOHKeCyE9AeN+Jq4wK1JrWNcp6xiGNcc20
ZtdZFuMfzdp5rvpmzRUEDHsdV8s+VScJkUNa/lyJn1RYH2Kxg2WYwqKpj10inhQO2dy2CGYe6Nb7
sM+U1k/16mx22c110l+lU6+dPr4tFitwGmMyDbpnjC8vnevcTIexvGckHHL3XrviwJ7kNYLoThMO
OUxHfeuaieU3iv2lOVnMX97Cu5zyJ7c1w5o0SOgT4VKMPgDVI9OSxyLKT/ossIkh+KqFOE0dtLNG
wVF5X4bAIuNIng+aIDY0G9latLRlQd6IsMrExa1ZsVntr85uD7yXDHTVLn7xYvva1bNyKrrIPjR0
ioY1FL7lzscU8bY/ZyVDXtU7wrh4LPX4nA0angplIjNB2Qh88ZYmPpyueSJPfE/fsnMKa1cjBFtp
RM7dctNY22idY5S+0o5fRmX6cgxVx7vYSdj55nqaTcR5jsFRgux4PyZVt8lb7Qqn9blS1F9z3D2K
hUWcplimPyft0WSsmY5yZ/bts6OqQVnzU5jf++0SA5O08+sQay9xQ56SUvXZ0zSTMcyS0+VGojir
mnbc5CaLnrmsjqhSiDVjnApcba+hYu6kNm+iO0yO9Xy5dg0IgQ0BC1A9wolPNagzk25/gpNnjqiP
vVmDG5TqHa1WoSG6J/RKdJ9itviVW9pUev+IZAzzQw6AX1LmLt8tVJwVrrg3VMB48sx4BVy4wEEX
v3R5uV5ATdbdeAOQPwZRG5+ayTk0IlubjmTmsTjbaV4Gf+pKm2AB8dxmA+M2I/UNIGYMDq92w1qg
jqtn2RHtnAvm4+3dQeH06gt16bJOazqwRa13dF5PTuy94IE7TXN3jjkaVt1QNSchyISzq/g8OOKX
SWoIXyPCDsN4wKH7kdVUaEL90dvhQa9UDTEafEqi/EaWXZJ6ef7dShMPEkiaVaePz1lrvKnO/JCl
+i2alMAW6Ssb0Q6kKY4jsDjPhZN/tA5vaUQ2QGmNryq6Zl+gjqaew65Qe+kqS8qjNsdP9lDcEIq7
4ax11MaUMyaXXNksYTaWcNyUfVyWl1gYq2weH6RBcEc2TU1QaVPMMqt+NyAErWy+0lQYW9HLMLJm
GuZE+PGo33chTVjCKKW72ieDfADGzCuJsJ+aCIBGsV907WuMFmbjqvvKqjEgk+uWeoJzpQknWo4p
Yp80uY8LN9tOrYkx98Zi42KWZBbOx1VY5DewRQqdkuWerU0vTq4zQPIeXHO8FNI552V+wjN5HOPk
p28HG7MONoSECZTl1WWQ1iwNu+SZcvLqLMq5GNoTkusXZ3I3MUF7SayGEY+YXVm7TB3Zi3oLSxY8
LyChWFG5NgPkeGeWEXPoZlelxism36+K0aWWzbusFJckyV+b5Z6aNu6tOou2mjFtylo/una1SZv2
CsJhL6bxC6jg22LSZmfTRkmUkyVHsJrem00wPCXvkdL3Fb/LwTSUoDejx1R1NyVHbDlaz2NOlxe5
Qa2pt7SXlHXNjoiW1YCaiIx79W1q1LAgyYWiitnR4AB+y3GHu8RbCM6hvq7DQis3bc6oItXXiJg3
hF9i7dEFZihxAR/2gI/wI7sjRot6eBH1cJ3rJ6/7bAzj1VHy6yzcd5MRReJM24neL6qtFj8PWgTh
fFkqRURodb9GHhWjLjeDUewjO3lXjXxngmHNlJFNZLlRbbtcFbxUYiqeuta6wb5Zj0JHGJqKZ6PS
HiZSPToxf5dWed8MVge7jPayZmybyJ9RaluQNiB9dZ+4mB06lr0XjaxTzVNhx68asFe7YHhtyMmf
W+UWYZWhrot9rBnAx+uImTxZ6Ut38Dx2nBK1ro/X4kRAzJUYYtwHzn5yBF3VmG15gRFYjBe9kXef
9Vq0hj950VUO6kdS1q+80yP9gfy9uI5B3Gp8ml0A2nfjXF6UcdBRgXtp9p02GCtb4weE7gXzIIbs
5iAquLeNAmMLidNOMbIMn6ew+Gfwt4T2zBIEhdgWYxzQBU6k3JpYl3v7ptM+KGhZL7Xt89gNO2uI
zlPkaKvF8s52Pn/BathiioGWxeOy0jjTVlVnlVuHNQ3SvCOGwz6uMK+yYENFy4tXXCxz+khq46ns
jZd44gOm44V+4ip3zRsDt0rcRrd8EHX+pJQGpOLhA7o/AXvtFQbgrmuKs5uKg9JqbzL3vhktYO90
ynt+Zv9kWA+s9C5lUZxNb9pkVnLAtH5sjAJIU7ruYlxaBU8qsYfh4lqYWC3m0CWQZTY/n4siXjE/
+0pRH3RZX1rXeluoXpgonNh1uWjvGMqoNtADgYRIK2zbV9PoNOX4BZmZvjIvCMjt/HI743fVJRvC
eHaL0z2wBniPRfFSOMU7Ap5gqPJwxEuPOcV3jCgkdddf7NG3mYnhXOSMZk+EkzFOro2r7bqecZ9Q
d1k6PVqJDXzaC6VTnbGmrkrHKUJesgfRY0o2EOGNif5VEyAcLWk4eO1a6gvTjv4XcsNQjfNNE7MN
0kV3gjrzZk3Lh4rPz6q0p+T++QtKsNyBZp8WLYPwsXudxbheut6HzaasWjYUEKbrdZGDi8B9G0RK
9dzO+Yuh1N5OGOquGZzC79PT3GWfWUvLBuKDkX1yqHuDAOpZrf1eq75HnNOgRX3kaMcYiBab38Ng
Ls+ECzJBwc8vZrkXYJaZMJkPeQrKyVVDt44ursJ219N3Xm9uDSGC7L46cGrO/IHUnRwT3XDz6uwR
4vLdfvk0Fk26xpW1aTXlKdKoOUamwpzhP7WOhbHGMKV42cZ24o8aUawxqM1KHcRNmBhSCexDj8NH
QFdwzKOl4hhpfk043pL8gWAqcxWpc2DojnNsO51PLC+aoLdFHqRqvxtZL2WDdbDoFopJ71cxrYAh
CrY7tq+487ec9rb3QMO/HjLKgCIYdJqpfEH4AFesrgty0wNZRFuztQ6Tka77GUKCqD/0GGiqtL9a
UeDiJE09lOpCeLeztg3QV25Idu1XYyn89hGriyH+BtitG/GN+Gt/TJ/4U96S+91KIvJmZrMyjtEB
BvunUykvpdRO2N+28P+fXVleaxWdsHKGlbpDm8VKQaLxGSR2zc/UISuzgCmi3vdYFghxViceiMiV
yJKjWue7Sp2f+Z1sckbTTTOp2/4eu11/zYv10nBQr/oE1Uh7yMuf+6ytGeJHAeyzajm+DfXopfXK
tbN9TWye9JSvpE1Oc9VvBJOLDPyODz3QhxHJilV8JF3/kRnKFOo6OylbEb/biAbVYnVh5fUNtObP
JPBVc4ADxBLbnO9HXcZfMrnLpZghF5gJndx6NhI6Q4/tfJ6CSs+m0BQVXxFMk2VY9vP4ulTpVnb2
tUbIGyDKCEBKrkbXPA5tdeqjJLSYKRK2tTVN+VvtPL9UlvTIQOdZs4pd4yzhEOU4nYtu1Tjqowlg
Y0Wpn0BOIEu4p3AruRJmTz2neT6tOoehjqqddMwfq3gyjpkqP5JZOyz1zFiBiwxgITOs9K3zzg2N
LpeNa8lznWYbdZ5B3E49MgCz8ROY25QsbEsMD7GFYfQXlADkn1vJDiimEVi1Z60yk4a+jJcfq2xu
mD6fTGuYVr1s3RV77pd81Dnq9fzqGOkeJNu1szrgFvZxQjVDSkB9nZr5e8jz7bgYfMLat1oNawVX
oWPI06yNUArq7imphrdskGdpyjfb2saDOvpq7h5xczNJT76ahIGpon0MaXxAZrPLoJDArOGcw/e7
unPfyA04Er5waxK8kui9/LRIjpaod5Y09xZEg6wTO7UbNkkOsMZLXiKWsAVj5KijaTMBrQtF++22
aN+McJrqbKfn1JgEsfjSZNcBrWTVwUFuyANG0Zy/RqO4pQOk2aWRJHstcACMAogctlxWkmHNb2zk
LgQYezviK5YdN3SDWRWshpBrqt5VqZufehqh124WABCCDWDseJcpZpFtmcsBnAQoERzXUxYs0tzK
uXuBpBCtnAFpC6SkeBq3E0oOXU1XwDnQjyG+3y+jycQ24ZPtxvSKE70NDHYPiqm+DBDxJmW50bL5
gJG2RTIGBSikvdrbN2dQKAwcLk5XrVZxJH/3isnhLTdQdVnKdNeo6UcUGJIFGst/ax58HMBhXhe8
IvXMsgoBC4l8q/iexUJh4dtj/Lwo3YNK81UU7knrlRvDIm3VlnhYhVe+pSS1DMkys1ksQ6geKKma
/mTWzriao/JMTM12WjgDRrad/Th/WUK8GTqShTn/LnUmOFP77t41+LNuvVS5zT1o80PiJj63fTqt
icJF4JL0D0qlXcy7Yo5Zp93BflhQxoeuLNbmgqt1tPqQjd43Dtk9I07Gic7wFSfVQe21Hzbfr2Ni
bFov3/EKMdVgs2lhgY8jbW13ZC0ggdhKqI4ra4pDPUZUk8S6jZGUKr5ZRjj8+SdaDLaF9rT4qawp
0w0SO2yeSYmKw4nLbUHXsCuc5Ydk8V8D+cwFcdvWVZ2/56HzXZT/sEm4rldOdLGsX1ofSPVNddfo
F1au9tkqCa8Mii6WVksXxPp7NBhc06+E9q1a5TeyuiBlm9Ht55TRPinvaMx9S618czxGLCIiY7NA
YUoyNegRXS5rJ498dwnthTGmE44cIA2qBMnI+sHkambnTEGEWgndXBoFBCbw4Bsn+B4O2Jj4K88/
JbP6lJHGrM9+SxOjp2romU+yeXTGLaZvdjgtA4X1oL/QW8bpO7G77JuRf09hmb4OuAtUL71MAPFI
KMB+sMuINbaa8TwCeEzm51pykr53ro0uYN27oaEYgb5sS6YEy8B8+hgzhEHGwmj0y5mms5i+3fR5
nNDlG341QDqIdpIntu8/pLP4WQboJTPOA/WP6T0QrcdRIW79wNWmlax+ZzaX2cHKvxZCC+Ppd55p
n9H0HSHwBmTSTlUg4z1AFNLztPWc8cx+RP05Qsqc2GQu4tbwvPYrh9umdoq1or3w5Xx0FWOnROKB
2+K9UzK+BkSVM5ty1Wy2tQUCY0YiSRD4yoUngr6NXZd+ZrCAw8F+MEG6eLW9JcQTHYvw9hF6REXS
sOgp7VF64x3zx8xOeSbTwCzRUAg1cOq7ezvbGiUPAKX9QqBHRBHOBAIxhBuSN/lYzum6Gp+akVmF
1MNS5sGSu7BC1OwaI8pdtGTTKjVDHlAqtneJiJVwEmPf3SFMTon3O1q18fhkccEtCPuQbISqGyFN
KncZb7irgz6+I+YSQO8x2x96xp2HsryM9Bc3lxwpdnNubJfLoB2J3Cr0d8uiqE0JhRcLSCQC5FbI
FwKdLr+YSxSvkEVaMj25OXsEkyPT0glgPjAMgAPp+t/rOpXIV9N5a8XlZw7byK7Ml3+nBqwILtVw
KLmYBt1832vpv/Bt/LOi3PY8QtdwE+O3cv7ROqICf2rGNFm2NcLoZSvyfyGb/2cfzF9tB/d//ifD
RjrobWaTtrCt3h0c+F/ZHMb/wmf1z3+C4+pYHA1U+UDB3X8wQMFRRZtJwMyWLw8APsXC/xHd/91J
/ncn8t/Mz7/+5DT/s/H8f/1P8qfj/4F8z1P2J2/B3QX/d3f7+bP8/R//9rQUye/+z170P/1nf09D
1P/gwdB108IaC7jY5Af+LQ3RU//wAAqDqna4u//mTf9PB7r1h47tnDRcHfeMeccrd/XQJ//xb7r5
x/0Rwzjv8G9gDzH/OwZ0A7/6X0wKroqbGieLaWsOFnkIS399shgLyDJbOMRmuYhjOpfZy5ioyyG1
iIOC/ZNtnCTN1wkMIdZ2S/RaRpqztRGuvzBSHF7tiUgfLmmqClj8Yyj4e8KsJ4nQH8DVBHmZuX4S
MeQTM/IfGnRKx7yfA4ibjPiyuyd0cuotLEWxArqGFV7+kpksISs07nAx7+F1TM7Sh3zx5Eq2UDUE
yuoLGYr7aRoMv57NPFQmxwssnDkP1iy9s7Kw8rPngfFYNetBJCeLEyPN2GrDJIj3ukbmalc3Y8jg
M3pHDsAOkrBZSuoqncI8y4F4pWN5UzFzb+bEe5nVnA0N//G28kp+APDUp9jubhRVDP0z090Ukcwe
HZRKh17NIqhgfXMaq7zfJFX2DFaMpdqMQdLMtHFvK2Z7qXAtrRsznnaIKgtm7UNx0S1FCSybZX2s
6s1V5no6rEpFM3eZqMWprarkmKMiXbOvcnZObJCt25F8RFKAUzxZkxjTtSMQzs96Zh0H8Mn1ZM3P
VuNFkBq1gdKLNACfIpkJMBkH8dpM3Gmt6sLewboYN2mZvnnQdNYxoTuoH9pPm775CbZVF6QusJK+
ijFHuGzG45hqTHNtJqueHPjmrRrcPCIihwGdoxZ7tUaZAOi92MH47Bl8IJgcTGQibtmc05RPpmUF
sVArbsDEpwxF5oxZoqF/gjmMwilR2nOTK8anK7XxSkuAiKKHIDbn9nShNdd84IT8SDm9TvUo9nma
XVktR+s8FdmHY6nDmz2V86muKEuTNt2xnD8I1H6hFpPvQseTrz2DisdZPlqN/zur7lSP3q0DexTD
2lH0IWRL1h9tU5C6XIwKKnzbZDXF7h9cD03prGn2RzTwfNu6dtcZFg0hGdZWFD2BY/19QOhBAdIT
u/sgUmJIUM2zQw174y4O7ZbpIc8APZEMfV8XlExJYtawyjuGB+tT9MvvaKovfRs1j/0UGf5SLM27
ZTOQNVrsOgmaAIA+VrupBiTBhpeNu9xD2V/oFmWWg3W0xDzLb12wcfd4H0k/K0IRVdE+yyPifbsa
4frQaYGBRvdIGou4JijxeUlb3BYaqJxHOpsstBGCBhgnWHJH4NHek3HKL02KwgQwpc3PpkmIlmX4
BquX3jfYy022RrfWpykb/7Z6UxjtHRqzTZ+rssLGYltKipjEJiuhmd2AB6OAmIh8SQcgugNXMHOo
sOzAS8O/rWoeKrpYk0GyWDDlsnoWKwxmnU+H1a9LzalPkRi1PCA8u/pWzJqpQ8p6G0uDY23rtE/o
c/WI6q8ywtmQbMLF4gSLi/5OqDFTkkHE7rro5u4wWAWrzjhF2yphBe6aRDJYRGyXOoxHOn1o9zYG
2pWh6ZINnGByodjGPqb6CdrJLh81I34bvfapzXPkg8t0Vhszf5jhPG1s5nV+1I/xujXAZ9oVNbzn
VbGvpGwC7fTd0UzKwqnXv7zGyeUqH4yHzHNYm2QM4+OZ+QtTyVtk9YRNV+6jHY/gPcpK8fMxPiZG
dkJDeRFV82LKeacRex5EPX0cymiHQzWfb4zhGuYsDmSIphbrHsrj3miFuTFKFmtp68Z7z0ZtZXrG
L6sZlnJdKo1GNlaGihgmLTJtjMF2MQ5nNxFE23os+VnG0391Sjn7gzCUsNKrZlXEEMFqoRQH2xkp
jUmSqndtos1PjcLiYumgnI1D257HdAknpk2dSpi2hdWt8Irs1UVwuwFqFF9iS+qPSiVs429MgP8/
dcn/3OqF2oBVHrf9/wupk3XJZ5L+pXz5v//df/FzQL8hFISkjLn/Tsn5e5Yz/BwyNvBykpyl38uX
/+LnUL04uDs95/4/IolxPv5n+WL84WIoJ+EG5A7ITtX975Qvlnv3UP7VYwmfBxcrTk6LA938h6o1
08faalSbkTO4U+4P3IUZ3XXbv9nKfZ0H/U66KFcxmx4p3cggT8qfGDImxVq3XkyC22Wtwc7kesZO
xkFWNjyWhkx2xAv4ZhcdBwWJSlkNbM1U0L8UBSJZfnGS75cS/lPUYgtpao6psVh+WEVtc6xU4B18
AitojXFhmaNdBJHzMnrPphW/JYoDGYxET3t+n53+h/3SM2YZZ+rDVlH2rdDPPfmG2jBcBVky+7G9
S9DirAzHrjN9LzMWTrZejXdVbpZg77r+7n3UmTcFGnntD0TQLCYsIR0fHsun7y5S5FoXRboeysLZ
Q20erIAwQ96lPm2rh2iZ0E56kfxWI037BhedPJlitHMMXHlzQ240BEB0y1DqXf7IzkxnxpCrV/Ic
DZRKkN/W0hzKDSmH8znLHJaOth5fETQnwSDHNFTBjm74qrSgbfUHVEpHLy+OudHhwD3bZglBlQli
ofZUTVYJ+s9LXUTP9bBqcyTXkvgrtZ1vgIfxdOuY0DrvoVaXdWTZu2hscTC+lKb7FQ3qysqSa6x8
p8uzmUU7N7V9toeMJiilL2nKiqBvNjKVD1k7XVRMW5M9v2qMDXFFHk3ttU2rZzTUceuFXFGBrmmP
Q/xb1EkYebdIAdfjQu6PHU7TiljW4aam9iHpUaua3445hiP3I7M8sMkA+AZjPbDRS9HPZNLcOFMb
BXHyVMWoh+4NsR7mavJWTcqu96Jm5SzldbAZvrTypSUx3J+QIXZDEwxxeyshZe9JFNnAUfQ17aKl
yyGXGjVl/2N2xgMTV4rfbgJJZMFBW7RPJDmkfM7rRtE2JUq4VolD+OyYL4cbmsxT4bqKL3NAurFG
sqKBQWXnWnSWMidRLZmxRZOruZrj+ZR3DCYlrr4+09JtvORnY3bPs9uxKyrFr8IbDDRDk84yv9sp
vfNLu79cRRp41m+SAr41/SdX1BFlQrdNUmdT8KtwVe+pVFitYuCdkilbqeX05vYaBXaLTM548hrl
tBgaebEF+asU+P7Y2WFaRmvIjXgXivEjynAltUyDYpQv7PadS6x4USAyp2b+75YYBlweD0ViiO1I
MWPlU4HXsLo++o32U1+R5WEjaHCzL9jCIwMbI9soPQ8e0hPHj7POWEmIqKFul5wvSYJ11pWAYiIz
2cCI4rcYLOOxmYpxo+rkoijxCDccqxor2KX/qUwkJou21AcEh+lFK3KLN6JrECQl7jZZmvqngCNL
58OC+wtRenTQ04aSTKfvCTOz1MJ48noE02p6soWah+gd0BhLpIUDYJCT0RTeDgwqs9X7gJRqtz4n
jdY+TUbEwEb285mlKlTXHPmCWsZT2JRKu667jmlMrjMea8jJDdoEwgsbGPmCoxCcO2bIKx9PH9jQ
Xt8LNU02eDmZ4tQwik4jYoCwoOLw2UojXDLaMcTsyyanBFrouXkRephkLt1UyqAoojQw8kScBrX7
DdkYy8Fgq2srUvq1xm+Is4H9iMffO3bTtKvcST+jwAMixVy+ZuzloriKScH7UHGAhtnQkFA5OF5o
G8oOPs+7ATwHjeaE7p0UWz4I4g0Yf3nPkaJYn1hIhpOtlvZDG2PMkSUrfYmbyRcWMovSXMadXeHE
g2Vurc1UMy6YF466gQrEqMwldCKlfDbiKNp5mSlPjpVxgnXq8FDrapL7nHZYzJo0df1aM8p1XzfW
T+yRTViaPUEfmdcFRnvXCIDpXXXG2epngMH3XsY18VcNS4+u2xQQ+tVaPGqRtbAFGZyjorMa6PP8
BQWGDGGRKQHsiXQ1/2/qzmS5bTTLwq/SUXtkYB4WXQuQ4CyKoiZLG4Qky5jn4Qew63frB+sPsp1l
OZ1Z6cruiGpFRoZtSSQAAv9w7znfkatDm1hrJjLFk7oAqQgN8KimB5iCFxOVEixS8mP9btdWir3P
7GnZhS1KJ8laCCrzaiEvdN6Va547j06GabEItNce/xhtSidbKEmLPXjoU08v5YKJi2aflhXldRyg
/iX7j96q5hubcgJ02rUNTNywMZkXWu1cWSR96L0hXyS+oZEtXF1R51jUNZLANHCQK2lWu47SUVvY
UluhnAhuiwntqsz9gj4NmGNHEm8kRtcgM3KD7xAAso3bI4EOKSnqvZSOnKqG7MGUk3BdDagCHKN7
bRPGEYMmWMHMsGEAiN2B5F62RZexA0rWDC0qlxHK8lLQbWyqPr0oG0nfdaQMb7RBfWidI3Ky0gM9
TodOKx9pqmYXZW+dBVZ9Hb8j7lsESyrdr8qypFUb2sr9NKRtv0h8fXpJTRyFbhqFCIMFYp5olagh
PFfcy0hvdJiygooq4krM7FbsW4Q8V3GerCrfp/Rr+A7sNwhqxiGcpnEPDxG23VDY+Y5cLy6I1eb8
q58gKm/Za+5AAOjUa2XqD9AulzXKazehPw5MV2cp0Vfp0amQY1U8yV5TqdWL4geUAQycd8kixTGt
u0TfNpjZlQgGfiH3pFsWU3/tVKIkM7l0VsDvk8vOyVOcnWqJ9LLTqGMINL5qJ3yc63GOGcicrsPI
zi2PQhOl70mpIgO58hQ+JoVdn+yqHz0lai1254GFBH62HZWoCsohPSlm2R1jxvuPdgmlOcxnW1uV
2UcVUueLM3TmpYhEeWjz0Ng0Tk9wE52dlngzhWlhGlogphmznOHTwAufZgFXo1yOBZOsJhalal3a
SLirWqZKhZS8KNVL1rLGZVQFeymxhkVi6MdQCFq0pUU7WWHXaVISGXR01CN/Gayq3URdoiPPiLCy
ABn3syy9iuMq9TrusUc7Na9Csz6aEy6VNgulRaFC9W17+oM0eC2cE324/Gap/qWa+i068ru6HU1s
WyPhhGFZt00D+sj7ul3ABr/Gs19tbD85IwO4mYJslzv/LDSY5f1362ub9TsFbQCSqgH05v3bIBQz
RT0QVFuo08eo1nbQBe9+/kzeiuaOqYKF+Z4SlFuZmsIkrDaNL69jBYF9VU0n4jv+GZLlR5fs2zf6
rtQpimKScn+osFBHD6i9jigf3AIs/V87n+8uWSvFrLJK3gbZpUy5zNrWhB/oaWd93rn+LqTyR58N
bC52UdwI7LTmvdE3TYFABWGOkZGESzJJ9mPQKoe+Gb4w8/4P9sc3RcZ/b2zZXzsAbzDUf/zt/1MD
4C0UZQ4QMi02s45mz1X4399NX4wZcq8oD8IfMmp/+GpfOgTKL8AS5721ZhLVpRjcmF/22A4gWpud
rQ6O1lZl7d0eW0dwhNzhrXPAvf51h63zajypNuBKGg4Adn9mh61wou+GANMxdEWlCsc9RjaMzib5
/W2mx0Jx6tTsN1Y7VktF7Ud6vkwdWMCbvewXeKXlCqGJglAtHglQ7uyYVW4QSJ5thIpXyzg7xqTG
5mNWztmw5F0wq0rNPI+WKKkGt07DeMdNvuwDqEFTxrIol9k0GcQ+uy3CxIWFyWNVcAxdYu9RqrML
w4xmWlmEkUZcZ2bULpJyoL0JdcGXYUizcSVDaBYIpUOIqAqrQGDU1w0W9OWcabQMWsDmQ3lmRtwU
wLZZb3Qe2QGI+nPBHAqyvsmR3ZSqYa8nAeinCIZnTQcVgg3sQdc1MOO6fGrTcScK3avC4ajb/dbq
6mDNLNO5ehxRrusyquVi25BQ5jrhMMMACo+V6Xbqsw1Ka8+gYRIlBQV/yHZWv419/RDV1SGsrCtI
DAYmBaT01How16dgq6WKCB4nP8RJ8kmJowOfWb1nM4STv4RYiV8ZAEfx0HTJvHcx92apeSBj42Uf
RimQbh0YNlgYyhrrMEXRU44oqRK/3/IpAvxoVayq7ECceMK5BM/JUC5iOyF8xcgJNKiF5CaEOC9I
P7kI0+mmcQpWn5ZwQ8oAkSYwxc3hGgETB3pUjLBxN7IRnaM3BiXd2Zgb0Nulvpcn06Npsnx1UI2P
/LTZO7hjwocJMXYViI09Ja9SP152ZVwuM7m7YznPx1k1SLrxIYdhT5FDVZ7TjL2f5CfKsuqSEinB
dIQugRo21T50MUVHP7HXeaIdS4HhCQU9crCCEkomp/uolJ98qqQEEK1be7juTAIlcPSGao7aKhYU
XvPFWHwcZMUH9os2hNYHdVyJa9uif3MA1btyb56jRj5KEeI/HmVpJbrsMpnjTAwJk81YGhnd+zhY
yHDsFxRkPcfU7/S0/oD2kQyAwh5X7MiWTjNQwSpy5JX5GRfcCgGqaLD2giBRJ0IgerofQCtk7L4Z
Mhfb6Ql6aHH6FfXjlPgPsW0SLTOnrxhcSJZhN3GuXSk1GRzkdRZzQEtdsEfKCumgBfXV0Pi7dA5w
MdAGS8hdNko7VWtpQP8rtej21VI8muxY3VDgYZGD9oR+HKoxcg01RfvbtqupCxCS5iL02pK+vC0V
B+yjN1ZwIn7YWKHmMCG+jLMHm6wKJN+IgljUD0QBk6kt0bAwbTyh8qACy4qRI/TRJywGB9LPDY+l
6+PUNFchCrGFIpvnLh6UM8mdWFFz5zaKAnAy5cCB2E+CYRz5PZ5djNyOGV0pUgjVLu3uBNt+FNvI
sNOu9HBpYYEYw2Na8i9Rp+9G8hTcWrTHsUjpa2V+txgt6xrLNQs4m1IJG3eXAQWZY4fTTSoYPcpd
OExsLRKJ6oV9Ki3kh0ltx3M/MvB0zaFGp6bsABMJkkuabqR8OMoRURSaBnRBJ61lYAuEbTs4oArW
wlfqhaiu+2miL0R3KkW/2pM05jYtj4xThbpn6fiadf0cyshcQAS+qkG670N/nYYWqUG+cRFrWJ0D
glkXRqFaqOf6Wyrrl+MQzawNMfLoRGRjyRKW+oGCV32N+TDzoCyxKqrXRbK2kwJC43nKtvTBrkXZ
EMg1vnZOca9azk4QYIttQHuaAOzBqJA9nqDcrVooJ2lHZERjfqgtjExq/VAPxDlpWnDS/EgBOaSF
gC56TiXrPaP2n+hWHvzA3heieK7zHtFnfY8wmGLLwPOidA1qGb+CuEKqgy3YRytT2fM89CtFFvtB
73fVYBwq3LvRmBeLTNgAFQx8WdeF3GDzE/lBU0nKIQ6gdnNsBoHmn4fcLLEohQ8dYjLcwkTIVkl7
1vX6SnZgguFgIOfAKQ90wZ+pBu7hq1522IvBAM8P30T4DNk8x6kInlPFuPOV8K4f5/0UaqZF1PLE
GimcbiTAQYH1r2QvndoYpVIne0l1TBYojzyArNu+RDDaKMmNHpr3+pDSsQlOsqlfBMZwjwF+fvQd
r821y7LoT31AMawriQ4rmA8lUDwEpFAJ0VPlOhBIVs0p1b3eqoQr45d0tWD8KLcatK55u4iNhfIi
HaKoTyjTFGhzNEoUfkQcSaPb26wWnUdVpqN5Rtuv1rVb4dAE8ss7VEGtV9XBk+EbGI1EcNAcsaOu
yV5xwMdbQQNR/eKCegQNova2HGCB5VqxRtYYHckRYqAFbUPv0EOSeB8gNUsG+1IRGbKnFIhH/iEp
ZOovLDJcEsRetBSvtlLuho5gFLrhWR96Pfpbxm3ZS5jrhpHAMVqlAxrRguWHhhNTgLT06HKu2Mgv
+TygzLWXcmUfsKmQrIL1hXYnI291JfBesktlgu/OYGeRug5c9VsLE8ZiQEBF/NC6R1kvTG0DVAi0
VFg8MXJdjFbNBncwb6qRlnJARRQmi7CNda+EkjsZzVHmmaaxfjFNs0hfPYSjj3Bt3NhpchaOc+t3
6Y3SpVtZE+RpEOcxlMHGJ5hNnkjn8CWWAfiJkv5OlWpsHFs7Ow/twik9rJDLxnzpMsLesvwFGu25
8rPZ9d/tHbW5RkB/74eG67xaZrALJ7h8SWjcJBkLEJa2YsFk/6z3MOtMqTzLsrZIwyB1B9BU9Eo6
LJ6k4OAsMKrkUqEzjmnzhC/o4CftRtT2CTzNUiREKJX6ybcdskd6uhp5j0hQxyXexEiwooxSgyMy
+hfUi+qgu9Oq8UFzwKogj904fXvyTQECSNtiI/U6RToRQoW1LgCjp7diO6zbal0lyX1T2B9ITrdc
Gjf7uB/XgvwxLLYfeiUoFmylYbLF11pWX3IxUb5jMR5MnEDMiVUNqx9TRS9HXl5Gj0oVP2eh85FA
0NkTghDcKdMLNCq0jvt9pl6zvAa+orxErUMdjVkl1YH2pPqDIuxP9iStnABcT5kiieZM0d+Z04YI
SLAviQoBhYehCzq3IRLkUIo7Wbn3KwoxN7l8G0m7UiPLpTkUFomGMebHhW+1LYmIaPbqUhLXpWJW
PCY1IUpWvUTAgsOtJpQ1Cr3IBMAz1YAyBtE0bpNlFA/9/px1zKZaCMnfttd+Q7+DeuKmkerBhRy8
S/oHKbDgZaIakQkh852aBKJBPioaA1Np+wgdmfJFab/UemOvRmET8DLE3LDU1vgdAyhdaOvnEr7R
MjEChwmbe1816Pv0U+RaMt70FpaT6+vGrQORUoopCnZD6N/n0CkkTHeNDrlDcmSodvpguFIcDKuO
eFsvR+0R2BY1REBEbuRbq1RS90Ug7pwpO+hmtK7nRZLfXhSJ8ehb1YrblZK6ukkTqmdhaUOBS+1N
NADkiuPGzesjJKOHxuKP4NHm5ZlFO8iw8w36isq1lP7JTIdmMfjSTQD31FVT+wwcFSg919GAaaZi
T3LhO5zA+qZuXcebQlc+GfDASFazWrYiWh9gLMJcQ7+Pg8ukOwoW8S2fVbAh0HH0yoDbptZNMNu+
J9GKywYinNZFdonhk2iZTWW8RNAQa2289LGFJE6Fl6HYZCagnKTFwxrQ+zhYFKF1ROsG9OKmjxdZ
fLJy8DDo9+NUQcNkX/rYTni9btIwCZPThG9GM6XjBPcCXyWSyGVedg+qPbBXQXX9zA0OGyIcYE+O
d4LJ0x/A2BW0S5p9U/jLzJZczWJ0X9vjne08TgaMvzX/97G8ZQW3qbk37H3ePxa96tk5UWN8nsMu
Y1AX5bWivVgAeocmhFt1o1bX8MTWbf9QIFINTQSbu9LAE2g9agW5XNqB1WGuL4N67RO/mCCs4l3b
6LqvfU9l81gLvILKpmDKz4xuhwUHhFSJTc3pH0hPo0lCg8QbAJ8uEB0dIbQcVWQUDPUMhZMCJaEL
z0OlkV6mb6xRO6YDUWnKtmvWvQpeCQ/Dc6Gki7jDdYipw+mxaAj6jBh+owraQroSY++pubExwmhv
ddrad7Iz2qN6wd4AuRSxnrR8FHk62JksVtA1iysSFtGPCPLDw9bfKlrer82KyZv1WjFnGWB9ZxZb
x/TCaRmY5rEfzFcV7A0uyiS4CexoORWtsyefy0uiFZm0fFiZspQBH4gu2rYh/QIV45VrNUgy2F1c
4zynM2rTzsrruMLWDQlGnk7F6Oz0IVvmAwb7Ll+K2oEWNU99FXjDdElWw1089Uc95SZvsFqNuLbB
PNRReR7RpAQQfaeqOpv2hNd7rhAzQOjsbGUANPQNfNegO2n2/lUbqxeVlT5lDSzgqvUa45XLQWto
ZRcgM2ptbdG+bHwE9C3iv4MSTexXQs9qJQwHCeuOGNRvgGA5B/41rA24wabqrPJYLDJmKRGde6Vj
Qcu4STBkoNxbuC3KfWZqy9ooaNixkTAcvNeB18GcCUGUDOhGqOcuwlSlvRIu4upRqNuEhaHWbecx
MVmTl8JS31U1Zz9hsWev7+nhIcpuaMvY+PGZc4C8gidb1z2T99YxrpX61NrXo2AFz65RMMbI94nN
Sl89CR/FeHhuJjjLQ7suenkn2BeHAebPk9HwSKZEmA6fzEnftqCBJxkdHGHvtUlfp83niLh9Czpm
tBSElo8Q8FzI7/hoXmPVPDZdRqAUjsSFXeKmWKHLCZoUlCJCrsS0zgUaY5HF5Md2T4P6QeCzBRor
SV6a32ks5gStnnRK10DHdlmj30ixeShj0lmE8EKhfZzxIED7482MjVRDoLSJ52j9Sq/npt4y1Wcb
rVsF8UqDHdsmzw69mRAbe0fQ3mTZ20kibJTl/XHoWaJPslezxWMNvCEs0w0nn6xTY1VkluH6NIxa
qp9agGp5GNZV3VwqveaW9Ue7INNSsQ5W1q5KRyWvTvFYirPmgWfqfzIrDNNwS+ivo6twICp2HS21
hwiWgXWi2bBUq0u1+2DbblfuYv+iaogjGAgKHOIHPbiaOTJlVLpRWCzichvNzKJVbj83KJ+CwHT7
nP0dTXyV3Fs/m1Z4O1rEczqUrNGJeKerGN2fhUVAg7AQygWN1G7Tm3yIXM6B5bLV+4tSSc6ZPnmF
fqtp2iYqIUBzBiCjIvO6aDexCk52QYJCTo0GalQaZHvbuax8E28RNt05E2gZiwsTGz0dR4CxgKII
dBjVeqHTxJeQ9leT7WWsOAJABccxxocTrtFisIFj7RQsIs1nClkNRcPehT1vdCCp1e2yx17fhdhK
wk9CB1BobVNiLQqkhopnjMM2iiTPj28T/GCO5DV06H22+gWjtePchYIVvvqx14/KcNOmdxL8pGi6
qx3HFeNB0u6lijC0+AUGLjIfPMHEuVsXcX8PsAuVmr5UmC5ZOUK+dlD2phAa19p0YzuEFgFczYC/
FK9AExcTsIVkK0uKF1og32CvkPGEbLLGZ3nvx3QDLRYe9VMZoOJMvXC8YbZ19Ro4tO32eJxtbW0w
06UXtJkvqAlitXoCXUI4tL5EjQh46gPG5KWaSdQT4Fn4yt6pzLVVUXCjXdkrVzSgGd7G+KHJccZz
JoVZLWI8FnZTcqWeDKXZ68CGpGgn6uRDSlJTNRqurkvPXXYzBNaN3wEKmAfKHUqVFR7zdZ7va9bV
U3Rv+y/Im926GryqBdPOhfWxLhntAX5EKIulhVFCFVA7wZFlIBeGqvHgG+3CkKDyCWOHllpA+0AJ
Kk5kzVQrFkLkcnjgUm/UBtupftCdOTwai41DbnavWPhUBv+g+d3ZkaqrPOIt4vn7uBNZkeuZF/t5
u0hbUi50ch7xbEauMmL5d2h/kzdypXbK1ndIHsb/5LMeZX6ebgmq8rSxOxU6iaczk2ZA/uNqkkkr
cUpf6iS9FE5+VPU5dVnRL1ih+0u9SAvuho5SZDg7efX6bCk+i+MIwJfJFOZSUcBRAg0EyGtyUAKw
ZmMNYK+3o09mPc23u/aCjZJqYuVsYj0M1pqUX6IN3xZ5uM4rElyntLyWdcSm0TQRzFxj11YaXJ+1
dTlKhF8X/nocmo8Z1eguyU64HKsl6wcmNMYmS45RB1PCcfx2n9hm6dl90fIIIhetsbfEgXPUi0SB
uZH2XF6gO1HHUm9My5dw9qE1eXgid9VzyvbDUBMMS6sTqug07Iui30pWdaei3gHB2dyyyZU8OcvE
IqgptoxZBuiDItaqSoySinib73Kur+c4yR3C4BUY32M2lgddJLtRkbaQ6C41NWRoi4sryFevkola
vrRK83nC8UfRFwiVGgo0Z3EULiUp3pncTW6hEbRQB1D3wTV2bFPm5CWE6uYkXrvcyhcBXDK3M7Jk
4atm7YVGfCgmRGQEG97Lk7o204aqtmVQW2nkV44xJgxmsDcokSU3H+qtpol80QSmwNs4rZU25CEL
qeH3ur/y5UoHzMe1pALLSnukduln4W2fkGXe589jzj2UF8VRyDomPxlWiNOBcGsjX1tRubxLnfJD
J6ePUzsex9QAd5UWoAOc+gn1xLWuo5SN1AZEuJG0y3bOJqaOraKDIK84b8xjXg3ymqSAfDXkDZuE
3BhRd4x5tfJLyUtCAo8nS7+GCZA8OIJNJPv9emWNlsCq1JxaJK+LHBeEDX/IFZXWfBgMytu9wv7a
itC6Rj32aClAFGLJmGhUn7WGQteaMR8gTid/hKF8ShJGCWfkxJRYvyxgOPJYUndSLAETJx38xaiX
JSUT0z9Ymr1O0A/WFQihOc7ZDIihGQp2zxOI98rpzk3RmhS98goiHAk+vj98CiSa6tAL7ZGVluwz
BEWqpGMultgxUt1a+3NedOIjIEOYlGyIoxabvOtf1bjczLycfeeUd4ZgEoTLcfXWE/vf6SbOr/Jr
r/DnUiq/HMAPYyp/TWScv3sqory9KX6TZfmnfuhrtOOPX+hd7uVL0eVtTYpm8F1YpUp/7V0X8e2I
rubIzT96gfSJZM7uI54jFQktDUEZHCsplPPX3/4jLfLgy7dxFdGoV4m2IT5m/rK//YR+fOS/zfr8
vcv0E1fg6SPlpWXUkF/40n6rMbZ0Yvz+MPnzdy7Jd6/4zSUxfnlrdcoK6eBvX+8uyRyhwyX/5h75
107vz1ymd5/hdwf8+paLuv34n3+ji2rO5rLv9dk/feKYyzQ02Jo6J5LOX+9OfL4XyF+iTfzl2587
2P9OF+Kz3hxpw595Jr67nt/cALMrzrRsy+GKvn8YlFkIT44SDWO+0If/m90Jny/AnxwUfv8CcCOg
BWHL8+MbQfmF0CqNKLUvY8a/343wO3bLn34i9F8shXxQ+XcvhGmaaKd06/MN8RMX4k88Nr/OIvBE
049vk0z0SgQHg/vnweOf/sDXAfa3L/BlZJmHD+aQdz83Ry1/fuXPQ8z897+/u1feBr9vvvl1MHx7
my+//uX8fvvO797r60l9/cdN9Fo/1S8s999Gty9H+dkeuwif2rYI6qfs2/Ff+fWW/8cB/eff3h3u
N8PBH73+MnxKnn7w0gwnf/Wlz09/aI55O9f5uv1rB74PuzT/0ZEj/fmrR/7HnuS/eODuUx01//1f
6dfD/G4y+6vH/vMp33/xfP4l1dYfvuePnqJf1x6/fba+ril+9Gvvx435J17S16f67/8DAAD//w==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5</xdr:col>
      <xdr:colOff>419100</xdr:colOff>
      <xdr:row>0</xdr:row>
      <xdr:rowOff>166158</xdr:rowOff>
    </xdr:from>
    <xdr:to>
      <xdr:col>20</xdr:col>
      <xdr:colOff>222250</xdr:colOff>
      <xdr:row>6</xdr:row>
      <xdr:rowOff>79376</xdr:rowOff>
    </xdr:to>
    <xdr:grpSp>
      <xdr:nvGrpSpPr>
        <xdr:cNvPr id="37" name="Group 36">
          <a:extLst>
            <a:ext uri="{FF2B5EF4-FFF2-40B4-BE49-F238E27FC236}">
              <a16:creationId xmlns:a16="http://schemas.microsoft.com/office/drawing/2014/main" id="{8C403DDB-2ABD-BA90-0C92-49A5ED3A31AD}"/>
            </a:ext>
          </a:extLst>
        </xdr:cNvPr>
        <xdr:cNvGrpSpPr/>
      </xdr:nvGrpSpPr>
      <xdr:grpSpPr>
        <a:xfrm>
          <a:off x="4197350" y="166158"/>
          <a:ext cx="9461500" cy="1132418"/>
          <a:chOff x="4305300" y="236008"/>
          <a:chExt cx="9461500" cy="1132418"/>
        </a:xfrm>
      </xdr:grpSpPr>
      <xdr:grpSp>
        <xdr:nvGrpSpPr>
          <xdr:cNvPr id="4" name="Group 3">
            <a:extLst>
              <a:ext uri="{FF2B5EF4-FFF2-40B4-BE49-F238E27FC236}">
                <a16:creationId xmlns:a16="http://schemas.microsoft.com/office/drawing/2014/main" id="{CFB0DCF7-96A0-D253-29D3-CDE0DFF20D52}"/>
              </a:ext>
            </a:extLst>
          </xdr:cNvPr>
          <xdr:cNvGrpSpPr/>
        </xdr:nvGrpSpPr>
        <xdr:grpSpPr>
          <a:xfrm>
            <a:off x="4305300" y="241301"/>
            <a:ext cx="2127250" cy="1122892"/>
            <a:chOff x="4302125" y="625475"/>
            <a:chExt cx="2098675" cy="1104901"/>
          </a:xfrm>
        </xdr:grpSpPr>
        <xdr:sp macro="" textlink="">
          <xdr:nvSpPr>
            <xdr:cNvPr id="2" name="Rectangle: Top Corners Rounded 1">
              <a:extLst>
                <a:ext uri="{FF2B5EF4-FFF2-40B4-BE49-F238E27FC236}">
                  <a16:creationId xmlns:a16="http://schemas.microsoft.com/office/drawing/2014/main" id="{10769827-8692-983F-E40E-B722CD3DDE3F}"/>
                </a:ext>
              </a:extLst>
            </xdr:cNvPr>
            <xdr:cNvSpPr/>
          </xdr:nvSpPr>
          <xdr:spPr>
            <a:xfrm rot="16200000">
              <a:off x="4044950" y="882650"/>
              <a:ext cx="1104900" cy="59055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Top Corners Rounded 2">
              <a:extLst>
                <a:ext uri="{FF2B5EF4-FFF2-40B4-BE49-F238E27FC236}">
                  <a16:creationId xmlns:a16="http://schemas.microsoft.com/office/drawing/2014/main" id="{253758D9-DCA7-4D8E-A292-D99764F4C4F4}"/>
                </a:ext>
              </a:extLst>
            </xdr:cNvPr>
            <xdr:cNvSpPr/>
          </xdr:nvSpPr>
          <xdr:spPr>
            <a:xfrm rot="5400000">
              <a:off x="4889500" y="219076"/>
              <a:ext cx="1104900" cy="19177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5" name="Group 4">
            <a:extLst>
              <a:ext uri="{FF2B5EF4-FFF2-40B4-BE49-F238E27FC236}">
                <a16:creationId xmlns:a16="http://schemas.microsoft.com/office/drawing/2014/main" id="{75781A2F-37B5-4746-B02F-72513ECF85CB}"/>
              </a:ext>
            </a:extLst>
          </xdr:cNvPr>
          <xdr:cNvGrpSpPr/>
        </xdr:nvGrpSpPr>
        <xdr:grpSpPr>
          <a:xfrm>
            <a:off x="9223375" y="250825"/>
            <a:ext cx="2098675" cy="1104901"/>
            <a:chOff x="4302125" y="625475"/>
            <a:chExt cx="2098675" cy="1104901"/>
          </a:xfrm>
        </xdr:grpSpPr>
        <xdr:sp macro="" textlink="">
          <xdr:nvSpPr>
            <xdr:cNvPr id="6" name="Rectangle: Top Corners Rounded 5">
              <a:extLst>
                <a:ext uri="{FF2B5EF4-FFF2-40B4-BE49-F238E27FC236}">
                  <a16:creationId xmlns:a16="http://schemas.microsoft.com/office/drawing/2014/main" id="{F7DF46F0-63D4-DA53-C886-10D0310E3F75}"/>
                </a:ext>
              </a:extLst>
            </xdr:cNvPr>
            <xdr:cNvSpPr/>
          </xdr:nvSpPr>
          <xdr:spPr>
            <a:xfrm rot="16200000">
              <a:off x="4044950" y="882650"/>
              <a:ext cx="1104900" cy="59055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Top Corners Rounded 6">
              <a:extLst>
                <a:ext uri="{FF2B5EF4-FFF2-40B4-BE49-F238E27FC236}">
                  <a16:creationId xmlns:a16="http://schemas.microsoft.com/office/drawing/2014/main" id="{D9636A65-9EA6-B17D-8B72-0E3A22108437}"/>
                </a:ext>
              </a:extLst>
            </xdr:cNvPr>
            <xdr:cNvSpPr/>
          </xdr:nvSpPr>
          <xdr:spPr>
            <a:xfrm rot="5400000">
              <a:off x="4889500" y="219076"/>
              <a:ext cx="1104900" cy="19177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8" name="Group 7">
            <a:extLst>
              <a:ext uri="{FF2B5EF4-FFF2-40B4-BE49-F238E27FC236}">
                <a16:creationId xmlns:a16="http://schemas.microsoft.com/office/drawing/2014/main" id="{02C2DEAF-487C-490D-B5E2-1D261F38E718}"/>
              </a:ext>
            </a:extLst>
          </xdr:cNvPr>
          <xdr:cNvGrpSpPr/>
        </xdr:nvGrpSpPr>
        <xdr:grpSpPr>
          <a:xfrm>
            <a:off x="6778625" y="263525"/>
            <a:ext cx="2098675" cy="1104901"/>
            <a:chOff x="4302125" y="625475"/>
            <a:chExt cx="2098675" cy="1104901"/>
          </a:xfrm>
        </xdr:grpSpPr>
        <xdr:sp macro="" textlink="">
          <xdr:nvSpPr>
            <xdr:cNvPr id="9" name="Rectangle: Top Corners Rounded 8">
              <a:extLst>
                <a:ext uri="{FF2B5EF4-FFF2-40B4-BE49-F238E27FC236}">
                  <a16:creationId xmlns:a16="http://schemas.microsoft.com/office/drawing/2014/main" id="{3B8C8628-9AE7-B10A-15D6-0FDCC36B7876}"/>
                </a:ext>
              </a:extLst>
            </xdr:cNvPr>
            <xdr:cNvSpPr/>
          </xdr:nvSpPr>
          <xdr:spPr>
            <a:xfrm rot="16200000">
              <a:off x="4044950" y="882650"/>
              <a:ext cx="1104900" cy="59055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Top Corners Rounded 9">
              <a:extLst>
                <a:ext uri="{FF2B5EF4-FFF2-40B4-BE49-F238E27FC236}">
                  <a16:creationId xmlns:a16="http://schemas.microsoft.com/office/drawing/2014/main" id="{80CA29EF-7A11-F43F-DE09-DFB99759B819}"/>
                </a:ext>
              </a:extLst>
            </xdr:cNvPr>
            <xdr:cNvSpPr/>
          </xdr:nvSpPr>
          <xdr:spPr>
            <a:xfrm rot="5400000">
              <a:off x="4889500" y="219076"/>
              <a:ext cx="1104900" cy="19177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11" name="Group 10">
            <a:extLst>
              <a:ext uri="{FF2B5EF4-FFF2-40B4-BE49-F238E27FC236}">
                <a16:creationId xmlns:a16="http://schemas.microsoft.com/office/drawing/2014/main" id="{1AE7C3C9-21CC-4B01-B8BD-827F544C60BE}"/>
              </a:ext>
            </a:extLst>
          </xdr:cNvPr>
          <xdr:cNvGrpSpPr/>
        </xdr:nvGrpSpPr>
        <xdr:grpSpPr>
          <a:xfrm>
            <a:off x="11668125" y="236008"/>
            <a:ext cx="2098675" cy="1104901"/>
            <a:chOff x="4302125" y="625475"/>
            <a:chExt cx="2098675" cy="1104901"/>
          </a:xfrm>
        </xdr:grpSpPr>
        <xdr:sp macro="" textlink="">
          <xdr:nvSpPr>
            <xdr:cNvPr id="12" name="Rectangle: Top Corners Rounded 11">
              <a:extLst>
                <a:ext uri="{FF2B5EF4-FFF2-40B4-BE49-F238E27FC236}">
                  <a16:creationId xmlns:a16="http://schemas.microsoft.com/office/drawing/2014/main" id="{B13AB874-B243-3C7A-7283-C2CB10DAC5E8}"/>
                </a:ext>
              </a:extLst>
            </xdr:cNvPr>
            <xdr:cNvSpPr/>
          </xdr:nvSpPr>
          <xdr:spPr>
            <a:xfrm rot="16200000">
              <a:off x="4044950" y="882650"/>
              <a:ext cx="1104900" cy="590550"/>
            </a:xfrm>
            <a:prstGeom prst="round2Same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Top Corners Rounded 12">
              <a:extLst>
                <a:ext uri="{FF2B5EF4-FFF2-40B4-BE49-F238E27FC236}">
                  <a16:creationId xmlns:a16="http://schemas.microsoft.com/office/drawing/2014/main" id="{4A5F325D-9964-9BF1-456D-2680B4EDDF43}"/>
                </a:ext>
              </a:extLst>
            </xdr:cNvPr>
            <xdr:cNvSpPr/>
          </xdr:nvSpPr>
          <xdr:spPr>
            <a:xfrm rot="5400000">
              <a:off x="4889500" y="219076"/>
              <a:ext cx="1104900" cy="1917700"/>
            </a:xfrm>
            <a:prstGeom prst="round2Same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TextBox 13">
            <a:extLst>
              <a:ext uri="{FF2B5EF4-FFF2-40B4-BE49-F238E27FC236}">
                <a16:creationId xmlns:a16="http://schemas.microsoft.com/office/drawing/2014/main" id="{1235CF4B-029F-B277-073D-0E0913CF4773}"/>
              </a:ext>
            </a:extLst>
          </xdr:cNvPr>
          <xdr:cNvSpPr txBox="1"/>
        </xdr:nvSpPr>
        <xdr:spPr>
          <a:xfrm>
            <a:off x="4648200" y="336550"/>
            <a:ext cx="11684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Calls</a:t>
            </a:r>
          </a:p>
        </xdr:txBody>
      </xdr:sp>
      <xdr:sp macro="" textlink="">
        <xdr:nvSpPr>
          <xdr:cNvPr id="15" name="TextBox 14">
            <a:extLst>
              <a:ext uri="{FF2B5EF4-FFF2-40B4-BE49-F238E27FC236}">
                <a16:creationId xmlns:a16="http://schemas.microsoft.com/office/drawing/2014/main" id="{CECD821C-248A-4FE8-8B43-F0F1E871B5F0}"/>
              </a:ext>
            </a:extLst>
          </xdr:cNvPr>
          <xdr:cNvSpPr txBox="1"/>
        </xdr:nvSpPr>
        <xdr:spPr>
          <a:xfrm>
            <a:off x="7255933" y="368300"/>
            <a:ext cx="1047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Calls Reached</a:t>
            </a:r>
          </a:p>
        </xdr:txBody>
      </xdr:sp>
      <xdr:sp macro="" textlink="">
        <xdr:nvSpPr>
          <xdr:cNvPr id="16" name="TextBox 15">
            <a:extLst>
              <a:ext uri="{FF2B5EF4-FFF2-40B4-BE49-F238E27FC236}">
                <a16:creationId xmlns:a16="http://schemas.microsoft.com/office/drawing/2014/main" id="{C6A972E6-676F-4A83-AD12-C84BA446CDAB}"/>
              </a:ext>
            </a:extLst>
          </xdr:cNvPr>
          <xdr:cNvSpPr txBox="1"/>
        </xdr:nvSpPr>
        <xdr:spPr>
          <a:xfrm>
            <a:off x="9743016" y="304800"/>
            <a:ext cx="1047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Deals</a:t>
            </a:r>
            <a:r>
              <a:rPr lang="en-US" sz="1100" baseline="0"/>
              <a:t> Closed</a:t>
            </a:r>
            <a:endParaRPr lang="en-US" sz="1100"/>
          </a:p>
        </xdr:txBody>
      </xdr:sp>
      <xdr:sp macro="" textlink="">
        <xdr:nvSpPr>
          <xdr:cNvPr id="17" name="TextBox 16">
            <a:extLst>
              <a:ext uri="{FF2B5EF4-FFF2-40B4-BE49-F238E27FC236}">
                <a16:creationId xmlns:a16="http://schemas.microsoft.com/office/drawing/2014/main" id="{EB38B825-3717-4FB0-9DD9-5FC281655D60}"/>
              </a:ext>
            </a:extLst>
          </xdr:cNvPr>
          <xdr:cNvSpPr txBox="1"/>
        </xdr:nvSpPr>
        <xdr:spPr>
          <a:xfrm>
            <a:off x="12230100" y="273050"/>
            <a:ext cx="10477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Deals</a:t>
            </a:r>
            <a:r>
              <a:rPr lang="en-US" sz="1100" baseline="0"/>
              <a:t> Value</a:t>
            </a:r>
            <a:endParaRPr lang="en-US" sz="1100"/>
          </a:p>
        </xdr:txBody>
      </xdr:sp>
      <xdr:cxnSp macro="">
        <xdr:nvCxnSpPr>
          <xdr:cNvPr id="19" name="Straight Connector 18">
            <a:extLst>
              <a:ext uri="{FF2B5EF4-FFF2-40B4-BE49-F238E27FC236}">
                <a16:creationId xmlns:a16="http://schemas.microsoft.com/office/drawing/2014/main" id="{E5E31BE6-C82C-98A7-0238-EA14852D651D}"/>
              </a:ext>
            </a:extLst>
          </xdr:cNvPr>
          <xdr:cNvCxnSpPr/>
        </xdr:nvCxnSpPr>
        <xdr:spPr>
          <a:xfrm flipH="1">
            <a:off x="4813300" y="571500"/>
            <a:ext cx="6350" cy="698500"/>
          </a:xfrm>
          <a:prstGeom prst="line">
            <a:avLst/>
          </a:prstGeom>
          <a:ln>
            <a:solidFill>
              <a:schemeClr val="bg1">
                <a:lumMod val="65000"/>
              </a:schemeClr>
            </a:solidFill>
          </a:ln>
        </xdr:spPr>
        <xdr:style>
          <a:lnRef idx="1">
            <a:schemeClr val="accent5"/>
          </a:lnRef>
          <a:fillRef idx="0">
            <a:schemeClr val="accent5"/>
          </a:fillRef>
          <a:effectRef idx="0">
            <a:schemeClr val="accent5"/>
          </a:effectRef>
          <a:fontRef idx="minor">
            <a:schemeClr val="tx1"/>
          </a:fontRef>
        </xdr:style>
      </xdr:cxnSp>
      <xdr:cxnSp macro="">
        <xdr:nvCxnSpPr>
          <xdr:cNvPr id="20" name="Straight Connector 19">
            <a:extLst>
              <a:ext uri="{FF2B5EF4-FFF2-40B4-BE49-F238E27FC236}">
                <a16:creationId xmlns:a16="http://schemas.microsoft.com/office/drawing/2014/main" id="{FDCB5307-1AB4-4B6D-B8B4-A75674A112CA}"/>
              </a:ext>
            </a:extLst>
          </xdr:cNvPr>
          <xdr:cNvCxnSpPr/>
        </xdr:nvCxnSpPr>
        <xdr:spPr>
          <a:xfrm flipH="1">
            <a:off x="7305675" y="542925"/>
            <a:ext cx="6350" cy="698500"/>
          </a:xfrm>
          <a:prstGeom prst="line">
            <a:avLst/>
          </a:prstGeom>
          <a:ln>
            <a:solidFill>
              <a:schemeClr val="bg1">
                <a:lumMod val="65000"/>
              </a:schemeClr>
            </a:solidFill>
          </a:ln>
        </xdr:spPr>
        <xdr:style>
          <a:lnRef idx="1">
            <a:schemeClr val="accent5"/>
          </a:lnRef>
          <a:fillRef idx="0">
            <a:schemeClr val="accent5"/>
          </a:fillRef>
          <a:effectRef idx="0">
            <a:schemeClr val="accent5"/>
          </a:effectRef>
          <a:fontRef idx="minor">
            <a:schemeClr val="tx1"/>
          </a:fontRef>
        </xdr:style>
      </xdr:cxnSp>
      <xdr:cxnSp macro="">
        <xdr:nvCxnSpPr>
          <xdr:cNvPr id="21" name="Straight Connector 20">
            <a:extLst>
              <a:ext uri="{FF2B5EF4-FFF2-40B4-BE49-F238E27FC236}">
                <a16:creationId xmlns:a16="http://schemas.microsoft.com/office/drawing/2014/main" id="{113C0D5C-19A3-41A3-939A-842553A1DD24}"/>
              </a:ext>
            </a:extLst>
          </xdr:cNvPr>
          <xdr:cNvCxnSpPr/>
        </xdr:nvCxnSpPr>
        <xdr:spPr>
          <a:xfrm flipH="1">
            <a:off x="9801225" y="530225"/>
            <a:ext cx="6350" cy="698500"/>
          </a:xfrm>
          <a:prstGeom prst="line">
            <a:avLst/>
          </a:prstGeom>
          <a:ln>
            <a:solidFill>
              <a:schemeClr val="bg1">
                <a:lumMod val="65000"/>
              </a:schemeClr>
            </a:solidFill>
          </a:ln>
        </xdr:spPr>
        <xdr:style>
          <a:lnRef idx="1">
            <a:schemeClr val="accent5"/>
          </a:lnRef>
          <a:fillRef idx="0">
            <a:schemeClr val="accent5"/>
          </a:fillRef>
          <a:effectRef idx="0">
            <a:schemeClr val="accent5"/>
          </a:effectRef>
          <a:fontRef idx="minor">
            <a:schemeClr val="tx1"/>
          </a:fontRef>
        </xdr:style>
      </xdr:cxnSp>
      <xdr:cxnSp macro="">
        <xdr:nvCxnSpPr>
          <xdr:cNvPr id="22" name="Straight Connector 21">
            <a:extLst>
              <a:ext uri="{FF2B5EF4-FFF2-40B4-BE49-F238E27FC236}">
                <a16:creationId xmlns:a16="http://schemas.microsoft.com/office/drawing/2014/main" id="{25B0C796-B281-4106-8683-FBCA12E0F125}"/>
              </a:ext>
            </a:extLst>
          </xdr:cNvPr>
          <xdr:cNvCxnSpPr/>
        </xdr:nvCxnSpPr>
        <xdr:spPr>
          <a:xfrm flipH="1">
            <a:off x="12239625" y="492125"/>
            <a:ext cx="6350" cy="698500"/>
          </a:xfrm>
          <a:prstGeom prst="line">
            <a:avLst/>
          </a:prstGeom>
          <a:ln>
            <a:solidFill>
              <a:schemeClr val="bg1">
                <a:lumMod val="65000"/>
              </a:schemeClr>
            </a:solidFill>
          </a:ln>
        </xdr:spPr>
        <xdr:style>
          <a:lnRef idx="1">
            <a:schemeClr val="accent5"/>
          </a:lnRef>
          <a:fillRef idx="0">
            <a:schemeClr val="accent5"/>
          </a:fillRef>
          <a:effectRef idx="0">
            <a:schemeClr val="accent5"/>
          </a:effectRef>
          <a:fontRef idx="minor">
            <a:schemeClr val="tx1"/>
          </a:fontRef>
        </xdr:style>
      </xdr:cxnSp>
      <xdr:pic>
        <xdr:nvPicPr>
          <xdr:cNvPr id="24" name="Graphic 23" descr="Money outline">
            <a:extLst>
              <a:ext uri="{FF2B5EF4-FFF2-40B4-BE49-F238E27FC236}">
                <a16:creationId xmlns:a16="http://schemas.microsoft.com/office/drawing/2014/main" id="{2C916EE3-1EBE-41A8-D2DF-7502D6ABC3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72900" y="590550"/>
            <a:ext cx="444500" cy="444500"/>
          </a:xfrm>
          <a:prstGeom prst="rect">
            <a:avLst/>
          </a:prstGeom>
        </xdr:spPr>
      </xdr:pic>
      <xdr:pic>
        <xdr:nvPicPr>
          <xdr:cNvPr id="26" name="Graphic 25" descr="Target Audience outline">
            <a:extLst>
              <a:ext uri="{FF2B5EF4-FFF2-40B4-BE49-F238E27FC236}">
                <a16:creationId xmlns:a16="http://schemas.microsoft.com/office/drawing/2014/main" id="{4DB03575-FE72-D1DB-0C70-E8FF8E9FD7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792100" y="645300"/>
            <a:ext cx="485000" cy="485000"/>
          </a:xfrm>
          <a:prstGeom prst="rect">
            <a:avLst/>
          </a:prstGeom>
        </xdr:spPr>
      </xdr:pic>
      <xdr:sp macro="" textlink="">
        <xdr:nvSpPr>
          <xdr:cNvPr id="31" name="Graphic 27" descr="Receiver outline">
            <a:extLst>
              <a:ext uri="{FF2B5EF4-FFF2-40B4-BE49-F238E27FC236}">
                <a16:creationId xmlns:a16="http://schemas.microsoft.com/office/drawing/2014/main" id="{E0923229-38D8-B8C9-F487-B0B582424B4D}"/>
              </a:ext>
            </a:extLst>
          </xdr:cNvPr>
          <xdr:cNvSpPr/>
        </xdr:nvSpPr>
        <xdr:spPr>
          <a:xfrm>
            <a:off x="4387849" y="628650"/>
            <a:ext cx="291153" cy="507936"/>
          </a:xfrm>
          <a:custGeom>
            <a:avLst/>
            <a:gdLst>
              <a:gd name="csX0" fmla="*/ 440741 w 447482"/>
              <a:gd name="csY0" fmla="*/ 351063 h 448836"/>
              <a:gd name="csX1" fmla="*/ 363374 w 447482"/>
              <a:gd name="csY1" fmla="*/ 273697 h 448836"/>
              <a:gd name="csX2" fmla="*/ 328911 w 447482"/>
              <a:gd name="csY2" fmla="*/ 273402 h 448836"/>
              <a:gd name="csX3" fmla="*/ 328616 w 447482"/>
              <a:gd name="csY3" fmla="*/ 273697 h 448836"/>
              <a:gd name="csX4" fmla="*/ 287129 w 447482"/>
              <a:gd name="csY4" fmla="*/ 316865 h 448836"/>
              <a:gd name="csX5" fmla="*/ 270311 w 447482"/>
              <a:gd name="csY5" fmla="*/ 316865 h 448836"/>
              <a:gd name="csX6" fmla="*/ 131276 w 447482"/>
              <a:gd name="csY6" fmla="*/ 178340 h 448836"/>
              <a:gd name="csX7" fmla="*/ 131276 w 447482"/>
              <a:gd name="csY7" fmla="*/ 161522 h 448836"/>
              <a:gd name="csX8" fmla="*/ 174444 w 447482"/>
              <a:gd name="csY8" fmla="*/ 118914 h 448836"/>
              <a:gd name="csX9" fmla="*/ 174723 w 447482"/>
              <a:gd name="csY9" fmla="*/ 84435 h 448836"/>
              <a:gd name="csX10" fmla="*/ 174444 w 447482"/>
              <a:gd name="csY10" fmla="*/ 84155 h 448836"/>
              <a:gd name="csX11" fmla="*/ 97078 w 447482"/>
              <a:gd name="csY11" fmla="*/ 7288 h 448836"/>
              <a:gd name="csX12" fmla="*/ 80259 w 447482"/>
              <a:gd name="csY12" fmla="*/ 0 h 448836"/>
              <a:gd name="csX13" fmla="*/ 62879 w 447482"/>
              <a:gd name="csY13" fmla="*/ 7288 h 448836"/>
              <a:gd name="csX14" fmla="*/ 18590 w 447482"/>
              <a:gd name="csY14" fmla="*/ 51578 h 448836"/>
              <a:gd name="csX15" fmla="*/ 89 w 447482"/>
              <a:gd name="csY15" fmla="*/ 91382 h 448836"/>
              <a:gd name="csX16" fmla="*/ 12984 w 447482"/>
              <a:gd name="csY16" fmla="*/ 164263 h 448836"/>
              <a:gd name="csX17" fmla="*/ 46621 w 447482"/>
              <a:gd name="csY17" fmla="*/ 223129 h 448836"/>
              <a:gd name="csX18" fmla="*/ 217612 w 447482"/>
              <a:gd name="csY18" fmla="*/ 399849 h 448836"/>
              <a:gd name="csX19" fmla="*/ 252931 w 447482"/>
              <a:gd name="csY19" fmla="*/ 422274 h 448836"/>
              <a:gd name="csX20" fmla="*/ 342631 w 447482"/>
              <a:gd name="csY20" fmla="*/ 448623 h 448836"/>
              <a:gd name="csX21" fmla="*/ 348019 w 447482"/>
              <a:gd name="csY21" fmla="*/ 448836 h 448836"/>
              <a:gd name="csX22" fmla="*/ 399821 w 447482"/>
              <a:gd name="csY22" fmla="*/ 426187 h 448836"/>
              <a:gd name="csX23" fmla="*/ 440186 w 447482"/>
              <a:gd name="csY23" fmla="*/ 385822 h 448836"/>
              <a:gd name="csX24" fmla="*/ 447474 w 447482"/>
              <a:gd name="csY24" fmla="*/ 368443 h 448836"/>
              <a:gd name="csX25" fmla="*/ 440741 w 447482"/>
              <a:gd name="csY25" fmla="*/ 351063 h 448836"/>
              <a:gd name="csX26" fmla="*/ 70790 w 447482"/>
              <a:gd name="csY26" fmla="*/ 15249 h 448836"/>
              <a:gd name="csX27" fmla="*/ 80259 w 447482"/>
              <a:gd name="csY27" fmla="*/ 11213 h 448836"/>
              <a:gd name="csX28" fmla="*/ 89178 w 447482"/>
              <a:gd name="csY28" fmla="*/ 15249 h 448836"/>
              <a:gd name="csX29" fmla="*/ 166545 w 447482"/>
              <a:gd name="csY29" fmla="*/ 92055 h 448836"/>
              <a:gd name="csX30" fmla="*/ 166832 w 447482"/>
              <a:gd name="csY30" fmla="*/ 110676 h 448836"/>
              <a:gd name="csX31" fmla="*/ 166595 w 447482"/>
              <a:gd name="csY31" fmla="*/ 110914 h 448836"/>
              <a:gd name="csX32" fmla="*/ 150785 w 447482"/>
              <a:gd name="csY32" fmla="*/ 126511 h 448836"/>
              <a:gd name="csX33" fmla="*/ 55160 w 447482"/>
              <a:gd name="csY33" fmla="*/ 30890 h 448836"/>
              <a:gd name="csX34" fmla="*/ 391910 w 447482"/>
              <a:gd name="csY34" fmla="*/ 418277 h 448836"/>
              <a:gd name="csX35" fmla="*/ 391759 w 447482"/>
              <a:gd name="csY35" fmla="*/ 418428 h 448836"/>
              <a:gd name="csX36" fmla="*/ 391619 w 447482"/>
              <a:gd name="csY36" fmla="*/ 418579 h 448836"/>
              <a:gd name="csX37" fmla="*/ 348036 w 447482"/>
              <a:gd name="csY37" fmla="*/ 437641 h 448836"/>
              <a:gd name="csX38" fmla="*/ 343433 w 447482"/>
              <a:gd name="csY38" fmla="*/ 437456 h 448836"/>
              <a:gd name="csX39" fmla="*/ 258140 w 447482"/>
              <a:gd name="csY39" fmla="*/ 412340 h 448836"/>
              <a:gd name="csX40" fmla="*/ 224339 w 447482"/>
              <a:gd name="csY40" fmla="*/ 390879 h 448836"/>
              <a:gd name="csX41" fmla="*/ 224222 w 447482"/>
              <a:gd name="csY41" fmla="*/ 390789 h 448836"/>
              <a:gd name="csX42" fmla="*/ 224093 w 447482"/>
              <a:gd name="csY42" fmla="*/ 390700 h 448836"/>
              <a:gd name="csX43" fmla="*/ 55827 w 447482"/>
              <a:gd name="csY43" fmla="*/ 216794 h 448836"/>
              <a:gd name="csX44" fmla="*/ 23423 w 447482"/>
              <a:gd name="csY44" fmla="*/ 160204 h 448836"/>
              <a:gd name="csX45" fmla="*/ 11302 w 447482"/>
              <a:gd name="csY45" fmla="*/ 92167 h 448836"/>
              <a:gd name="csX46" fmla="*/ 11302 w 447482"/>
              <a:gd name="csY46" fmla="*/ 91999 h 448836"/>
              <a:gd name="csX47" fmla="*/ 11302 w 447482"/>
              <a:gd name="csY47" fmla="*/ 91836 h 448836"/>
              <a:gd name="csX48" fmla="*/ 26321 w 447482"/>
              <a:gd name="csY48" fmla="*/ 59735 h 448836"/>
              <a:gd name="csX49" fmla="*/ 26428 w 447482"/>
              <a:gd name="csY49" fmla="*/ 59634 h 448836"/>
              <a:gd name="csX50" fmla="*/ 26529 w 447482"/>
              <a:gd name="csY50" fmla="*/ 59533 h 448836"/>
              <a:gd name="csX51" fmla="*/ 47238 w 447482"/>
              <a:gd name="csY51" fmla="*/ 38818 h 448836"/>
              <a:gd name="csX52" fmla="*/ 142808 w 447482"/>
              <a:gd name="csY52" fmla="*/ 134387 h 448836"/>
              <a:gd name="csX53" fmla="*/ 123354 w 447482"/>
              <a:gd name="csY53" fmla="*/ 153611 h 448836"/>
              <a:gd name="csX54" fmla="*/ 123354 w 447482"/>
              <a:gd name="csY54" fmla="*/ 186307 h 448836"/>
              <a:gd name="csX55" fmla="*/ 262389 w 447482"/>
              <a:gd name="csY55" fmla="*/ 324781 h 448836"/>
              <a:gd name="csX56" fmla="*/ 295225 w 447482"/>
              <a:gd name="csY56" fmla="*/ 324624 h 448836"/>
              <a:gd name="csX57" fmla="*/ 313754 w 447482"/>
              <a:gd name="csY57" fmla="*/ 305339 h 448836"/>
              <a:gd name="csX58" fmla="*/ 409301 w 447482"/>
              <a:gd name="csY58" fmla="*/ 400881 h 448836"/>
              <a:gd name="csX59" fmla="*/ 432275 w 447482"/>
              <a:gd name="csY59" fmla="*/ 377912 h 448836"/>
              <a:gd name="csX60" fmla="*/ 417228 w 447482"/>
              <a:gd name="csY60" fmla="*/ 392965 h 448836"/>
              <a:gd name="csX61" fmla="*/ 321524 w 447482"/>
              <a:gd name="csY61" fmla="*/ 297255 h 448836"/>
              <a:gd name="csX62" fmla="*/ 336565 w 447482"/>
              <a:gd name="csY62" fmla="*/ 281602 h 448836"/>
              <a:gd name="csX63" fmla="*/ 355163 w 447482"/>
              <a:gd name="csY63" fmla="*/ 281301 h 448836"/>
              <a:gd name="csX64" fmla="*/ 355464 w 447482"/>
              <a:gd name="csY64" fmla="*/ 281602 h 448836"/>
              <a:gd name="csX65" fmla="*/ 432830 w 447482"/>
              <a:gd name="csY65" fmla="*/ 358968 h 448836"/>
              <a:gd name="csX66" fmla="*/ 432270 w 447482"/>
              <a:gd name="csY66" fmla="*/ 377878 h 44883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Lst>
            <a:rect l="l" t="t" r="r" b="b"/>
            <a:pathLst>
              <a:path w="447482" h="448836">
                <a:moveTo>
                  <a:pt x="440741" y="351063"/>
                </a:moveTo>
                <a:lnTo>
                  <a:pt x="363374" y="273697"/>
                </a:lnTo>
                <a:cubicBezTo>
                  <a:pt x="353939" y="264099"/>
                  <a:pt x="338509" y="263967"/>
                  <a:pt x="328911" y="273402"/>
                </a:cubicBezTo>
                <a:cubicBezTo>
                  <a:pt x="328811" y="273500"/>
                  <a:pt x="328713" y="273598"/>
                  <a:pt x="328616" y="273697"/>
                </a:cubicBezTo>
                <a:lnTo>
                  <a:pt x="287129" y="316865"/>
                </a:lnTo>
                <a:cubicBezTo>
                  <a:pt x="282420" y="321350"/>
                  <a:pt x="275020" y="321350"/>
                  <a:pt x="270311" y="316865"/>
                </a:cubicBezTo>
                <a:lnTo>
                  <a:pt x="131276" y="178340"/>
                </a:lnTo>
                <a:cubicBezTo>
                  <a:pt x="126788" y="173632"/>
                  <a:pt x="126788" y="166230"/>
                  <a:pt x="131276" y="161522"/>
                </a:cubicBezTo>
                <a:lnTo>
                  <a:pt x="174444" y="118914"/>
                </a:lnTo>
                <a:cubicBezTo>
                  <a:pt x="184042" y="109470"/>
                  <a:pt x="184167" y="94033"/>
                  <a:pt x="174723" y="84435"/>
                </a:cubicBezTo>
                <a:cubicBezTo>
                  <a:pt x="174630" y="84341"/>
                  <a:pt x="174537" y="84248"/>
                  <a:pt x="174444" y="84155"/>
                </a:cubicBezTo>
                <a:lnTo>
                  <a:pt x="97078" y="7288"/>
                </a:lnTo>
                <a:cubicBezTo>
                  <a:pt x="92639" y="2755"/>
                  <a:pt x="86602" y="139"/>
                  <a:pt x="80259" y="0"/>
                </a:cubicBezTo>
                <a:cubicBezTo>
                  <a:pt x="73750" y="132"/>
                  <a:pt x="67535" y="2738"/>
                  <a:pt x="62879" y="7288"/>
                </a:cubicBezTo>
                <a:lnTo>
                  <a:pt x="18590" y="51578"/>
                </a:lnTo>
                <a:cubicBezTo>
                  <a:pt x="7428" y="61896"/>
                  <a:pt x="781" y="76197"/>
                  <a:pt x="89" y="91382"/>
                </a:cubicBezTo>
                <a:cubicBezTo>
                  <a:pt x="-696" y="116306"/>
                  <a:pt x="3695" y="141122"/>
                  <a:pt x="12984" y="164263"/>
                </a:cubicBezTo>
                <a:cubicBezTo>
                  <a:pt x="22207" y="184957"/>
                  <a:pt x="33475" y="204677"/>
                  <a:pt x="46621" y="223129"/>
                </a:cubicBezTo>
                <a:cubicBezTo>
                  <a:pt x="92305" y="292018"/>
                  <a:pt x="150265" y="351921"/>
                  <a:pt x="217612" y="399849"/>
                </a:cubicBezTo>
                <a:cubicBezTo>
                  <a:pt x="228826" y="408170"/>
                  <a:pt x="240630" y="415665"/>
                  <a:pt x="252931" y="422274"/>
                </a:cubicBezTo>
                <a:cubicBezTo>
                  <a:pt x="280787" y="436922"/>
                  <a:pt x="311279" y="445880"/>
                  <a:pt x="342631" y="448623"/>
                </a:cubicBezTo>
                <a:cubicBezTo>
                  <a:pt x="344429" y="448762"/>
                  <a:pt x="346225" y="448832"/>
                  <a:pt x="348019" y="448836"/>
                </a:cubicBezTo>
                <a:cubicBezTo>
                  <a:pt x="367674" y="448770"/>
                  <a:pt x="386426" y="440571"/>
                  <a:pt x="399821" y="426187"/>
                </a:cubicBezTo>
                <a:lnTo>
                  <a:pt x="440186" y="385822"/>
                </a:lnTo>
                <a:cubicBezTo>
                  <a:pt x="444824" y="381225"/>
                  <a:pt x="447446" y="374974"/>
                  <a:pt x="447474" y="368443"/>
                </a:cubicBezTo>
                <a:cubicBezTo>
                  <a:pt x="447650" y="361981"/>
                  <a:pt x="445225" y="355719"/>
                  <a:pt x="440741" y="351063"/>
                </a:cubicBezTo>
                <a:close/>
                <a:moveTo>
                  <a:pt x="70790" y="15249"/>
                </a:moveTo>
                <a:cubicBezTo>
                  <a:pt x="73346" y="12791"/>
                  <a:pt x="76715" y="11355"/>
                  <a:pt x="80259" y="11213"/>
                </a:cubicBezTo>
                <a:cubicBezTo>
                  <a:pt x="83638" y="11372"/>
                  <a:pt x="86828" y="12816"/>
                  <a:pt x="89178" y="15249"/>
                </a:cubicBezTo>
                <a:lnTo>
                  <a:pt x="166545" y="92055"/>
                </a:lnTo>
                <a:cubicBezTo>
                  <a:pt x="171766" y="97118"/>
                  <a:pt x="171895" y="105455"/>
                  <a:pt x="166832" y="110676"/>
                </a:cubicBezTo>
                <a:cubicBezTo>
                  <a:pt x="166754" y="110757"/>
                  <a:pt x="166675" y="110836"/>
                  <a:pt x="166595" y="110914"/>
                </a:cubicBezTo>
                <a:lnTo>
                  <a:pt x="150785" y="126511"/>
                </a:lnTo>
                <a:lnTo>
                  <a:pt x="55160" y="30890"/>
                </a:lnTo>
                <a:close/>
                <a:moveTo>
                  <a:pt x="391910" y="418277"/>
                </a:moveTo>
                <a:lnTo>
                  <a:pt x="391759" y="418428"/>
                </a:lnTo>
                <a:lnTo>
                  <a:pt x="391619" y="418579"/>
                </a:lnTo>
                <a:cubicBezTo>
                  <a:pt x="380360" y="430697"/>
                  <a:pt x="364577" y="437600"/>
                  <a:pt x="348036" y="437641"/>
                </a:cubicBezTo>
                <a:cubicBezTo>
                  <a:pt x="346533" y="437641"/>
                  <a:pt x="345020" y="437579"/>
                  <a:pt x="343433" y="437456"/>
                </a:cubicBezTo>
                <a:cubicBezTo>
                  <a:pt x="313615" y="434835"/>
                  <a:pt x="284619" y="426296"/>
                  <a:pt x="258140" y="412340"/>
                </a:cubicBezTo>
                <a:cubicBezTo>
                  <a:pt x="246370" y="406010"/>
                  <a:pt x="235074" y="398838"/>
                  <a:pt x="224339" y="390879"/>
                </a:cubicBezTo>
                <a:lnTo>
                  <a:pt x="224222" y="390789"/>
                </a:lnTo>
                <a:lnTo>
                  <a:pt x="224093" y="390700"/>
                </a:lnTo>
                <a:cubicBezTo>
                  <a:pt x="157785" y="343575"/>
                  <a:pt x="100741" y="284619"/>
                  <a:pt x="55827" y="216794"/>
                </a:cubicBezTo>
                <a:cubicBezTo>
                  <a:pt x="43168" y="199057"/>
                  <a:pt x="32313" y="180099"/>
                  <a:pt x="23423" y="160204"/>
                </a:cubicBezTo>
                <a:cubicBezTo>
                  <a:pt x="16852" y="141760"/>
                  <a:pt x="9620" y="117429"/>
                  <a:pt x="11302" y="92167"/>
                </a:cubicBezTo>
                <a:lnTo>
                  <a:pt x="11302" y="91999"/>
                </a:lnTo>
                <a:lnTo>
                  <a:pt x="11302" y="91836"/>
                </a:lnTo>
                <a:cubicBezTo>
                  <a:pt x="11901" y="79579"/>
                  <a:pt x="17295" y="68049"/>
                  <a:pt x="26321" y="59735"/>
                </a:cubicBezTo>
                <a:lnTo>
                  <a:pt x="26428" y="59634"/>
                </a:lnTo>
                <a:lnTo>
                  <a:pt x="26529" y="59533"/>
                </a:lnTo>
                <a:lnTo>
                  <a:pt x="47238" y="38818"/>
                </a:lnTo>
                <a:lnTo>
                  <a:pt x="142808" y="134387"/>
                </a:lnTo>
                <a:lnTo>
                  <a:pt x="123354" y="153611"/>
                </a:lnTo>
                <a:cubicBezTo>
                  <a:pt x="114478" y="162702"/>
                  <a:pt x="114478" y="177216"/>
                  <a:pt x="123354" y="186307"/>
                </a:cubicBezTo>
                <a:lnTo>
                  <a:pt x="262389" y="324781"/>
                </a:lnTo>
                <a:cubicBezTo>
                  <a:pt x="271540" y="333706"/>
                  <a:pt x="286160" y="333636"/>
                  <a:pt x="295225" y="324624"/>
                </a:cubicBezTo>
                <a:lnTo>
                  <a:pt x="313754" y="305339"/>
                </a:lnTo>
                <a:lnTo>
                  <a:pt x="409301" y="400881"/>
                </a:lnTo>
                <a:close/>
                <a:moveTo>
                  <a:pt x="432275" y="377912"/>
                </a:moveTo>
                <a:lnTo>
                  <a:pt x="417228" y="392965"/>
                </a:lnTo>
                <a:lnTo>
                  <a:pt x="321524" y="297255"/>
                </a:lnTo>
                <a:lnTo>
                  <a:pt x="336565" y="281602"/>
                </a:lnTo>
                <a:cubicBezTo>
                  <a:pt x="341618" y="276383"/>
                  <a:pt x="349944" y="276249"/>
                  <a:pt x="355163" y="281301"/>
                </a:cubicBezTo>
                <a:cubicBezTo>
                  <a:pt x="355265" y="281400"/>
                  <a:pt x="355365" y="281500"/>
                  <a:pt x="355464" y="281602"/>
                </a:cubicBezTo>
                <a:lnTo>
                  <a:pt x="432830" y="358968"/>
                </a:lnTo>
                <a:cubicBezTo>
                  <a:pt x="437633" y="364443"/>
                  <a:pt x="437388" y="372698"/>
                  <a:pt x="432270" y="377878"/>
                </a:cubicBezTo>
                <a:close/>
              </a:path>
            </a:pathLst>
          </a:custGeom>
          <a:solidFill>
            <a:srgbClr val="000000"/>
          </a:solidFill>
          <a:ln w="5556" cap="flat">
            <a:noFill/>
            <a:prstDash val="solid"/>
            <a:miter/>
          </a:ln>
        </xdr:spPr>
      </xdr:sp>
      <xdr:pic>
        <xdr:nvPicPr>
          <xdr:cNvPr id="30" name="Graphic 29" descr="Bullseye with solid fill">
            <a:extLst>
              <a:ext uri="{FF2B5EF4-FFF2-40B4-BE49-F238E27FC236}">
                <a16:creationId xmlns:a16="http://schemas.microsoft.com/office/drawing/2014/main" id="{06EC031D-15F4-9DE8-5C4B-597F8204D34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90050" y="654050"/>
            <a:ext cx="457200" cy="457200"/>
          </a:xfrm>
          <a:prstGeom prst="rect">
            <a:avLst/>
          </a:prstGeom>
        </xdr:spPr>
      </xdr:pic>
      <xdr:sp macro="" textlink="Calculation!B4">
        <xdr:nvSpPr>
          <xdr:cNvPr id="33" name="TextBox 32">
            <a:extLst>
              <a:ext uri="{FF2B5EF4-FFF2-40B4-BE49-F238E27FC236}">
                <a16:creationId xmlns:a16="http://schemas.microsoft.com/office/drawing/2014/main" id="{A6B0A45A-E4F0-CFFB-7590-75DB71E398DA}"/>
              </a:ext>
            </a:extLst>
          </xdr:cNvPr>
          <xdr:cNvSpPr txBox="1"/>
        </xdr:nvSpPr>
        <xdr:spPr>
          <a:xfrm>
            <a:off x="4806950" y="749300"/>
            <a:ext cx="13589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BBDD75-CBFA-4821-8D68-42807237E4DD}" type="TxLink">
              <a:rPr lang="en-US" sz="1600" b="1" i="0" u="none" strike="noStrike">
                <a:solidFill>
                  <a:srgbClr val="000000"/>
                </a:solidFill>
                <a:latin typeface="Aptos Narrow"/>
              </a:rPr>
              <a:t> 18,300 </a:t>
            </a:fld>
            <a:endParaRPr lang="en-US" sz="1600" b="1"/>
          </a:p>
        </xdr:txBody>
      </xdr:sp>
      <xdr:sp macro="" textlink="Calculation!B5">
        <xdr:nvSpPr>
          <xdr:cNvPr id="34" name="TextBox 33">
            <a:extLst>
              <a:ext uri="{FF2B5EF4-FFF2-40B4-BE49-F238E27FC236}">
                <a16:creationId xmlns:a16="http://schemas.microsoft.com/office/drawing/2014/main" id="{7C4A29B2-6BE1-4479-9263-A18365CA5EAA}"/>
              </a:ext>
            </a:extLst>
          </xdr:cNvPr>
          <xdr:cNvSpPr txBox="1"/>
        </xdr:nvSpPr>
        <xdr:spPr>
          <a:xfrm>
            <a:off x="7636933" y="749300"/>
            <a:ext cx="9207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9D4AB7-7960-4D90-B551-488EB69B9EC5}" type="TxLink">
              <a:rPr lang="en-US" sz="1600" b="1" i="0" u="none" strike="noStrike">
                <a:solidFill>
                  <a:srgbClr val="000000"/>
                </a:solidFill>
                <a:latin typeface="Aptos Narrow"/>
              </a:rPr>
              <a:t> 3,619 </a:t>
            </a:fld>
            <a:endParaRPr lang="en-US" sz="1600" b="1"/>
          </a:p>
        </xdr:txBody>
      </xdr:sp>
      <xdr:sp macro="" textlink="Calculation!B6">
        <xdr:nvSpPr>
          <xdr:cNvPr id="35" name="TextBox 34">
            <a:extLst>
              <a:ext uri="{FF2B5EF4-FFF2-40B4-BE49-F238E27FC236}">
                <a16:creationId xmlns:a16="http://schemas.microsoft.com/office/drawing/2014/main" id="{21554D5A-BC4E-47E1-B88F-A4A38509550A}"/>
              </a:ext>
            </a:extLst>
          </xdr:cNvPr>
          <xdr:cNvSpPr txBox="1"/>
        </xdr:nvSpPr>
        <xdr:spPr>
          <a:xfrm>
            <a:off x="10028766" y="736600"/>
            <a:ext cx="9398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FC0D04-CFCB-4173-AE41-850B2D7B9139}" type="TxLink">
              <a:rPr lang="en-US" sz="1600" b="1" i="0" u="none" strike="noStrike">
                <a:solidFill>
                  <a:srgbClr val="000000"/>
                </a:solidFill>
                <a:latin typeface="Aptos Narrow"/>
              </a:rPr>
              <a:t> 1,309 </a:t>
            </a:fld>
            <a:endParaRPr lang="en-US" sz="1600" b="1"/>
          </a:p>
        </xdr:txBody>
      </xdr:sp>
      <xdr:sp macro="" textlink="Calculation!B7">
        <xdr:nvSpPr>
          <xdr:cNvPr id="36" name="TextBox 35">
            <a:extLst>
              <a:ext uri="{FF2B5EF4-FFF2-40B4-BE49-F238E27FC236}">
                <a16:creationId xmlns:a16="http://schemas.microsoft.com/office/drawing/2014/main" id="{D9E575ED-4B75-4497-A35E-95112E0B33E4}"/>
              </a:ext>
            </a:extLst>
          </xdr:cNvPr>
          <xdr:cNvSpPr txBox="1"/>
        </xdr:nvSpPr>
        <xdr:spPr>
          <a:xfrm>
            <a:off x="12439650" y="692150"/>
            <a:ext cx="11049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232763-1D17-412B-8F47-ED8469A54629}" type="TxLink">
              <a:rPr lang="en-US" sz="1600" b="1" i="0" u="none" strike="noStrike">
                <a:solidFill>
                  <a:srgbClr val="000000"/>
                </a:solidFill>
                <a:latin typeface="Aptos Narrow"/>
              </a:rPr>
              <a:t> 706,195 </a:t>
            </a:fld>
            <a:endParaRPr lang="en-US" sz="1600" b="1"/>
          </a:p>
        </xdr:txBody>
      </xdr:sp>
    </xdr:grpSp>
    <xdr:clientData/>
  </xdr:twoCellAnchor>
  <xdr:twoCellAnchor>
    <xdr:from>
      <xdr:col>7</xdr:col>
      <xdr:colOff>38100</xdr:colOff>
      <xdr:row>8</xdr:row>
      <xdr:rowOff>19050</xdr:rowOff>
    </xdr:from>
    <xdr:to>
      <xdr:col>11</xdr:col>
      <xdr:colOff>520700</xdr:colOff>
      <xdr:row>35</xdr:row>
      <xdr:rowOff>146050</xdr:rowOff>
    </xdr:to>
    <xdr:graphicFrame macro="">
      <xdr:nvGraphicFramePr>
        <xdr:cNvPr id="38" name="Chart 37">
          <a:extLst>
            <a:ext uri="{FF2B5EF4-FFF2-40B4-BE49-F238E27FC236}">
              <a16:creationId xmlns:a16="http://schemas.microsoft.com/office/drawing/2014/main" id="{7A864E9B-9851-4EB1-BBBB-E4C5F29DF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50800</xdr:colOff>
      <xdr:row>8</xdr:row>
      <xdr:rowOff>12700</xdr:rowOff>
    </xdr:from>
    <xdr:to>
      <xdr:col>1</xdr:col>
      <xdr:colOff>736600</xdr:colOff>
      <xdr:row>35</xdr:row>
      <xdr:rowOff>133350</xdr:rowOff>
    </xdr:to>
    <mc:AlternateContent xmlns:mc="http://schemas.openxmlformats.org/markup-compatibility/2006">
      <mc:Choice xmlns:a14="http://schemas.microsoft.com/office/drawing/2010/main" Requires="a14">
        <xdr:graphicFrame macro="">
          <xdr:nvGraphicFramePr>
            <xdr:cNvPr id="39" name="Name">
              <a:extLst>
                <a:ext uri="{FF2B5EF4-FFF2-40B4-BE49-F238E27FC236}">
                  <a16:creationId xmlns:a16="http://schemas.microsoft.com/office/drawing/2014/main" id="{AAFBA944-9EBC-A617-0D13-BE6F8428551D}"/>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50800" y="1600200"/>
              <a:ext cx="1295400" cy="509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8</xdr:row>
      <xdr:rowOff>0</xdr:rowOff>
    </xdr:from>
    <xdr:to>
      <xdr:col>20</xdr:col>
      <xdr:colOff>374650</xdr:colOff>
      <xdr:row>35</xdr:row>
      <xdr:rowOff>146050</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C31B03CD-EB9B-44B5-A682-A881CFF5B3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559800" y="1587500"/>
              <a:ext cx="5251450" cy="5118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3" refreshedDate="46032.881464120372" createdVersion="8" refreshedVersion="8" minRefreshableVersion="3" recordCount="312" xr:uid="{092207E5-75BA-4E2D-A5FD-A37286271120}">
  <cacheSource type="worksheet">
    <worksheetSource name="SalesData3"/>
  </cacheSource>
  <cacheFields count="13">
    <cacheField name="Name" numFmtId="0">
      <sharedItems count="26">
        <s v="Evan"/>
        <s v="Alice"/>
        <s v="Diana"/>
        <s v="Jake"/>
        <s v="Liam"/>
        <s v="Bob"/>
        <s v="Rick"/>
        <s v="Charlie"/>
        <s v="Molly"/>
        <s v="Chris"/>
        <s v="James"/>
        <s v="Richard"/>
        <s v="Paul"/>
        <s v="Ian"/>
        <s v="Melissa"/>
        <s v="Alex"/>
        <s v="Karol"/>
        <s v="Darren"/>
        <s v="Will"/>
        <s v="Vicky"/>
        <s v="Grace"/>
        <s v="Emma"/>
        <s v="Josh"/>
        <s v="Craig"/>
        <s v="David"/>
        <s v="Mimi"/>
      </sharedItems>
    </cacheField>
    <cacheField name="Region" numFmtId="0">
      <sharedItems count="5">
        <s v="Dhaka"/>
        <s v="Rangpur"/>
        <s v="Sylhet"/>
        <s v="Chittagong"/>
        <s v="Barisal"/>
      </sharedItems>
    </cacheField>
    <cacheField name="Date" numFmtId="14">
      <sharedItems containsSemiMixedTypes="0" containsNonDate="0" containsDate="1" containsString="0" minDate="2024-01-01T00:00:00" maxDate="2024-12-02T00:00:00" count="12">
        <d v="2024-01-01T00:00:00"/>
        <d v="2024-02-01T00:00:00"/>
        <d v="2024-03-01T00:00:00"/>
        <d v="2024-04-01T00:00:00"/>
        <d v="2024-05-01T00:00:00"/>
        <d v="2024-06-01T00:00:00"/>
        <d v="2024-07-01T00:00:00"/>
        <d v="2024-08-01T00:00:00"/>
        <d v="2024-09-01T00:00:00"/>
        <d v="2024-10-01T00:00:00"/>
        <d v="2024-11-01T00:00:00"/>
        <d v="2024-12-01T00:00:00"/>
      </sharedItems>
      <fieldGroup par="12"/>
    </cacheField>
    <cacheField name="Total Calls" numFmtId="0">
      <sharedItems containsSemiMixedTypes="0" containsString="0" containsNumber="1" containsInteger="1" minValue="16" maxValue="115" count="92">
        <n v="74"/>
        <n v="78"/>
        <n v="47"/>
        <n v="24"/>
        <n v="81"/>
        <n v="59"/>
        <n v="68"/>
        <n v="60"/>
        <n v="34"/>
        <n v="18"/>
        <n v="36"/>
        <n v="67"/>
        <n v="54"/>
        <n v="82"/>
        <n v="31"/>
        <n v="92"/>
        <n v="73"/>
        <n v="25"/>
        <n v="96"/>
        <n v="63"/>
        <n v="38"/>
        <n v="43"/>
        <n v="62"/>
        <n v="52"/>
        <n v="22"/>
        <n v="93"/>
        <n v="65"/>
        <n v="90"/>
        <n v="48"/>
        <n v="37"/>
        <n v="20"/>
        <n v="35"/>
        <n v="30"/>
        <n v="69"/>
        <n v="21"/>
        <n v="83"/>
        <n v="57"/>
        <n v="55"/>
        <n v="91"/>
        <n v="19"/>
        <n v="77"/>
        <n v="50"/>
        <n v="88"/>
        <n v="33"/>
        <n v="16"/>
        <n v="61"/>
        <n v="84"/>
        <n v="64"/>
        <n v="110"/>
        <n v="108"/>
        <n v="28"/>
        <n v="39"/>
        <n v="41"/>
        <n v="17"/>
        <n v="76"/>
        <n v="72"/>
        <n v="44"/>
        <n v="29"/>
        <n v="26"/>
        <n v="103"/>
        <n v="100"/>
        <n v="104"/>
        <n v="42"/>
        <n v="45"/>
        <n v="85"/>
        <n v="49"/>
        <n v="66"/>
        <n v="75"/>
        <n v="97"/>
        <n v="105"/>
        <n v="111"/>
        <n v="71"/>
        <n v="40"/>
        <n v="58"/>
        <n v="114"/>
        <n v="53"/>
        <n v="70"/>
        <n v="32"/>
        <n v="79"/>
        <n v="80"/>
        <n v="106"/>
        <n v="115"/>
        <n v="51"/>
        <n v="87"/>
        <n v="86"/>
        <n v="98"/>
        <n v="27"/>
        <n v="102"/>
        <n v="23"/>
        <n v="101"/>
        <n v="99"/>
        <n v="94"/>
      </sharedItems>
    </cacheField>
    <cacheField name="Calls Reached" numFmtId="0">
      <sharedItems containsSemiMixedTypes="0" containsString="0" containsNumber="1" containsInteger="1" minValue="4" maxValue="22"/>
    </cacheField>
    <cacheField name="Average Duration (sec)" numFmtId="0">
      <sharedItems containsSemiMixedTypes="0" containsString="0" containsNumber="1" minValue="71.41" maxValue="633.37"/>
    </cacheField>
    <cacheField name="Deals Closed" numFmtId="0">
      <sharedItems containsSemiMixedTypes="0" containsString="0" containsNumber="1" containsInteger="1" minValue="0" maxValue="10"/>
    </cacheField>
    <cacheField name="Call Conversion Rate (%)" numFmtId="9">
      <sharedItems containsSemiMixedTypes="0" containsString="0" containsNumber="1" minValue="0" maxValue="1"/>
    </cacheField>
    <cacheField name="Deal Value ($)" numFmtId="0">
      <sharedItems containsSemiMixedTypes="0" containsString="0" containsNumber="1" minValue="221.94" maxValue="4641.6099999999997"/>
    </cacheField>
    <cacheField name="Service Level" numFmtId="0">
      <sharedItems containsSemiMixedTypes="0" containsString="0" containsNumber="1" containsInteger="1" minValue="1" maxValue="3"/>
    </cacheField>
    <cacheField name="Call Drop Rate (%)" numFmtId="9">
      <sharedItems containsSemiMixedTypes="0" containsString="0" containsNumber="1" minValue="8.9999999999999998E-4" maxValue="0.10640000000000001"/>
    </cacheField>
    <cacheField name="Days (Date)" numFmtId="0" databaseField="0">
      <fieldGroup base="2">
        <rangePr groupBy="days" startDate="2024-01-01T00:00:00" endDate="2024-12-02T00:00:00"/>
        <groupItems count="368">
          <s v="&lt;01-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4"/>
        </groupItems>
      </fieldGroup>
    </cacheField>
    <cacheField name="Months (Date)" numFmtId="0" databaseField="0">
      <fieldGroup base="2">
        <rangePr groupBy="months" startDate="2024-01-01T00:00:00" endDate="2024-12-02T00:00:00"/>
        <groupItems count="14">
          <s v="&lt;01-01-24"/>
          <s v="Jan"/>
          <s v="Feb"/>
          <s v="Mar"/>
          <s v="Apr"/>
          <s v="May"/>
          <s v="Jun"/>
          <s v="Jul"/>
          <s v="Aug"/>
          <s v="Sep"/>
          <s v="Oct"/>
          <s v="Nov"/>
          <s v="Dec"/>
          <s v="&gt;02-12-24"/>
        </groupItems>
      </fieldGroup>
    </cacheField>
  </cacheFields>
  <extLst>
    <ext xmlns:x14="http://schemas.microsoft.com/office/spreadsheetml/2009/9/main" uri="{725AE2AE-9491-48be-B2B4-4EB974FC3084}">
      <x14:pivotCacheDefinition pivotCacheId="7125486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x v="0"/>
    <x v="0"/>
    <x v="0"/>
    <n v="12"/>
    <n v="330.42"/>
    <n v="7"/>
    <n v="0.58333333333333337"/>
    <n v="4276.3100000000004"/>
    <n v="3"/>
    <n v="2.9500000000000002E-2"/>
  </r>
  <r>
    <x v="1"/>
    <x v="0"/>
    <x v="0"/>
    <x v="1"/>
    <n v="12"/>
    <n v="377.5"/>
    <n v="4"/>
    <n v="0.33333333333333331"/>
    <n v="3880.98"/>
    <n v="2"/>
    <n v="4.3400000000000001E-2"/>
  </r>
  <r>
    <x v="2"/>
    <x v="0"/>
    <x v="0"/>
    <x v="2"/>
    <n v="14"/>
    <n v="418.92"/>
    <n v="2"/>
    <n v="0.14285714285714285"/>
    <n v="3716"/>
    <n v="1"/>
    <n v="4.3899999999999995E-2"/>
  </r>
  <r>
    <x v="3"/>
    <x v="0"/>
    <x v="0"/>
    <x v="3"/>
    <n v="6"/>
    <n v="76.930000000000007"/>
    <n v="4"/>
    <n v="0.66666666666666663"/>
    <n v="1552.35"/>
    <n v="3"/>
    <n v="3.0800000000000001E-2"/>
  </r>
  <r>
    <x v="4"/>
    <x v="0"/>
    <x v="0"/>
    <x v="4"/>
    <n v="16"/>
    <n v="516.23"/>
    <n v="5"/>
    <n v="0.3125"/>
    <n v="1030.68"/>
    <n v="2"/>
    <n v="4.1100000000000005E-2"/>
  </r>
  <r>
    <x v="5"/>
    <x v="0"/>
    <x v="0"/>
    <x v="5"/>
    <n v="5"/>
    <n v="520.05999999999995"/>
    <n v="3"/>
    <n v="0.6"/>
    <n v="3546.72"/>
    <n v="1"/>
    <n v="1.2699999999999999E-2"/>
  </r>
  <r>
    <x v="6"/>
    <x v="0"/>
    <x v="0"/>
    <x v="6"/>
    <n v="19"/>
    <n v="290.39"/>
    <n v="3"/>
    <n v="0.15789473684210525"/>
    <n v="2472.2399999999998"/>
    <n v="3"/>
    <n v="9.5399999999999985E-2"/>
  </r>
  <r>
    <x v="7"/>
    <x v="0"/>
    <x v="0"/>
    <x v="7"/>
    <n v="7"/>
    <n v="251.7"/>
    <n v="5"/>
    <n v="0.7142857142857143"/>
    <n v="3956.69"/>
    <n v="2"/>
    <n v="4.1100000000000005E-2"/>
  </r>
  <r>
    <x v="8"/>
    <x v="0"/>
    <x v="0"/>
    <x v="8"/>
    <n v="21"/>
    <n v="362.62"/>
    <n v="9"/>
    <n v="0.42857142857142855"/>
    <n v="1140.08"/>
    <n v="1"/>
    <n v="5.4600000000000003E-2"/>
  </r>
  <r>
    <x v="9"/>
    <x v="0"/>
    <x v="0"/>
    <x v="5"/>
    <n v="13"/>
    <n v="307.49"/>
    <n v="10"/>
    <n v="0.76923076923076927"/>
    <n v="979.09"/>
    <n v="3"/>
    <n v="3.27E-2"/>
  </r>
  <r>
    <x v="10"/>
    <x v="0"/>
    <x v="0"/>
    <x v="9"/>
    <n v="8"/>
    <n v="206.81"/>
    <n v="7"/>
    <n v="0.875"/>
    <n v="720.56"/>
    <n v="2"/>
    <n v="7.8899999999999998E-2"/>
  </r>
  <r>
    <x v="11"/>
    <x v="0"/>
    <x v="0"/>
    <x v="10"/>
    <n v="6"/>
    <n v="547.6"/>
    <n v="5"/>
    <n v="0.83333333333333337"/>
    <n v="3463.18"/>
    <n v="1"/>
    <n v="3.7599999999999995E-2"/>
  </r>
  <r>
    <x v="12"/>
    <x v="0"/>
    <x v="0"/>
    <x v="11"/>
    <n v="17"/>
    <n v="552.54999999999995"/>
    <n v="2"/>
    <n v="0.11764705882352941"/>
    <n v="330.12"/>
    <n v="1"/>
    <n v="3.7200000000000004E-2"/>
  </r>
  <r>
    <x v="13"/>
    <x v="0"/>
    <x v="0"/>
    <x v="10"/>
    <n v="9"/>
    <n v="216.03"/>
    <n v="2"/>
    <n v="0.22222222222222221"/>
    <n v="4072.07"/>
    <n v="3"/>
    <n v="4.1200000000000001E-2"/>
  </r>
  <r>
    <x v="14"/>
    <x v="0"/>
    <x v="0"/>
    <x v="12"/>
    <n v="10"/>
    <n v="208.23"/>
    <n v="3"/>
    <n v="0.3"/>
    <n v="645.83000000000004"/>
    <n v="2"/>
    <n v="2.7999999999999997E-2"/>
  </r>
  <r>
    <x v="15"/>
    <x v="0"/>
    <x v="0"/>
    <x v="13"/>
    <n v="4"/>
    <n v="180.06"/>
    <n v="4"/>
    <n v="1"/>
    <n v="1207.17"/>
    <n v="1"/>
    <n v="8.4199999999999997E-2"/>
  </r>
  <r>
    <x v="16"/>
    <x v="0"/>
    <x v="0"/>
    <x v="4"/>
    <n v="7"/>
    <n v="82.43"/>
    <n v="7"/>
    <n v="1"/>
    <n v="3463.96"/>
    <n v="3"/>
    <n v="8.4900000000000003E-2"/>
  </r>
  <r>
    <x v="17"/>
    <x v="0"/>
    <x v="0"/>
    <x v="14"/>
    <n v="17"/>
    <n v="476.95"/>
    <n v="7"/>
    <n v="0.41176470588235292"/>
    <n v="3945.43"/>
    <n v="2"/>
    <n v="3.6000000000000004E-2"/>
  </r>
  <r>
    <x v="18"/>
    <x v="0"/>
    <x v="0"/>
    <x v="15"/>
    <n v="20"/>
    <n v="161.41999999999999"/>
    <n v="4"/>
    <n v="0.2"/>
    <n v="425.41"/>
    <n v="1"/>
    <n v="0.1045"/>
  </r>
  <r>
    <x v="19"/>
    <x v="0"/>
    <x v="0"/>
    <x v="16"/>
    <n v="12"/>
    <n v="507.45"/>
    <n v="0"/>
    <n v="0"/>
    <n v="1123.8399999999999"/>
    <n v="3"/>
    <n v="8.9999999999999998E-4"/>
  </r>
  <r>
    <x v="20"/>
    <x v="0"/>
    <x v="0"/>
    <x v="17"/>
    <n v="14"/>
    <n v="279.95"/>
    <n v="2"/>
    <n v="0.14285714285714285"/>
    <n v="1432.23"/>
    <n v="2"/>
    <n v="5.1699999999999996E-2"/>
  </r>
  <r>
    <x v="21"/>
    <x v="0"/>
    <x v="0"/>
    <x v="18"/>
    <n v="6"/>
    <n v="532.83000000000004"/>
    <n v="1"/>
    <n v="0.16666666666666666"/>
    <n v="3173.13"/>
    <n v="1"/>
    <n v="2.8300000000000002E-2"/>
  </r>
  <r>
    <x v="22"/>
    <x v="0"/>
    <x v="0"/>
    <x v="19"/>
    <n v="8"/>
    <n v="170.49"/>
    <n v="7"/>
    <n v="0.875"/>
    <n v="526.12"/>
    <n v="3"/>
    <n v="8.3499999999999991E-2"/>
  </r>
  <r>
    <x v="23"/>
    <x v="1"/>
    <x v="0"/>
    <x v="15"/>
    <n v="13"/>
    <n v="422.39"/>
    <n v="1"/>
    <n v="7.6923076923076927E-2"/>
    <n v="2695.84"/>
    <n v="2"/>
    <n v="2.46E-2"/>
  </r>
  <r>
    <x v="24"/>
    <x v="1"/>
    <x v="0"/>
    <x v="20"/>
    <n v="10"/>
    <n v="514.25"/>
    <n v="4"/>
    <n v="0.4"/>
    <n v="243.62"/>
    <n v="1"/>
    <n v="6.4399999999999999E-2"/>
  </r>
  <r>
    <x v="25"/>
    <x v="1"/>
    <x v="0"/>
    <x v="21"/>
    <n v="15"/>
    <n v="363.48"/>
    <n v="7"/>
    <n v="0.46666666666666667"/>
    <n v="3843.52"/>
    <n v="3"/>
    <n v="8.3400000000000002E-2"/>
  </r>
  <r>
    <x v="0"/>
    <x v="1"/>
    <x v="1"/>
    <x v="22"/>
    <n v="15"/>
    <n v="361.38"/>
    <n v="6"/>
    <n v="0.4"/>
    <n v="4195.1400000000003"/>
    <n v="2"/>
    <n v="2.75E-2"/>
  </r>
  <r>
    <x v="1"/>
    <x v="1"/>
    <x v="1"/>
    <x v="4"/>
    <n v="14"/>
    <n v="362.96"/>
    <n v="5"/>
    <n v="0.35714285714285715"/>
    <n v="3620.19"/>
    <n v="1"/>
    <n v="4.0800000000000003E-2"/>
  </r>
  <r>
    <x v="2"/>
    <x v="1"/>
    <x v="1"/>
    <x v="23"/>
    <n v="14"/>
    <n v="382.59"/>
    <n v="3"/>
    <n v="0.21428571428571427"/>
    <n v="3394.39"/>
    <n v="3"/>
    <n v="4.5599999999999995E-2"/>
  </r>
  <r>
    <x v="3"/>
    <x v="1"/>
    <x v="1"/>
    <x v="24"/>
    <n v="7"/>
    <n v="79.459999999999994"/>
    <n v="3"/>
    <n v="0.42857142857142855"/>
    <n v="1638.74"/>
    <n v="2"/>
    <n v="3.04E-2"/>
  </r>
  <r>
    <x v="4"/>
    <x v="1"/>
    <x v="1"/>
    <x v="25"/>
    <n v="11"/>
    <n v="446.3"/>
    <n v="5"/>
    <n v="0.45454545454545453"/>
    <n v="1057.1400000000001"/>
    <n v="1"/>
    <n v="3.6900000000000002E-2"/>
  </r>
  <r>
    <x v="5"/>
    <x v="1"/>
    <x v="1"/>
    <x v="26"/>
    <n v="7"/>
    <n v="461.67"/>
    <n v="2"/>
    <n v="0.2857142857142857"/>
    <n v="3486.23"/>
    <n v="3"/>
    <n v="1.1200000000000002E-2"/>
  </r>
  <r>
    <x v="6"/>
    <x v="1"/>
    <x v="1"/>
    <x v="27"/>
    <n v="20"/>
    <n v="328.63"/>
    <n v="3"/>
    <n v="0.15"/>
    <n v="2662.44"/>
    <n v="2"/>
    <n v="0.10640000000000001"/>
  </r>
  <r>
    <x v="7"/>
    <x v="1"/>
    <x v="1"/>
    <x v="28"/>
    <n v="7"/>
    <n v="247.66"/>
    <n v="6"/>
    <n v="0.8571428571428571"/>
    <n v="4335.84"/>
    <n v="1"/>
    <n v="3.9900000000000005E-2"/>
  </r>
  <r>
    <x v="8"/>
    <x v="1"/>
    <x v="1"/>
    <x v="29"/>
    <n v="17"/>
    <n v="378.61"/>
    <n v="10"/>
    <n v="0.58823529411764708"/>
    <n v="1295.07"/>
    <n v="3"/>
    <n v="5.6299999999999996E-2"/>
  </r>
  <r>
    <x v="9"/>
    <x v="1"/>
    <x v="1"/>
    <x v="6"/>
    <n v="16"/>
    <n v="299.58999999999997"/>
    <n v="9"/>
    <n v="0.5625"/>
    <n v="979.47"/>
    <n v="2"/>
    <n v="3.6900000000000002E-2"/>
  </r>
  <r>
    <x v="10"/>
    <x v="1"/>
    <x v="1"/>
    <x v="30"/>
    <n v="9"/>
    <n v="202.4"/>
    <n v="7"/>
    <n v="0.77777777777777779"/>
    <n v="732.99"/>
    <n v="1"/>
    <n v="7.9000000000000001E-2"/>
  </r>
  <r>
    <x v="11"/>
    <x v="1"/>
    <x v="1"/>
    <x v="31"/>
    <n v="6"/>
    <n v="568.38"/>
    <n v="6"/>
    <n v="1"/>
    <n v="3949.69"/>
    <n v="1"/>
    <n v="3.7499999999999999E-2"/>
  </r>
  <r>
    <x v="12"/>
    <x v="1"/>
    <x v="1"/>
    <x v="6"/>
    <n v="21"/>
    <n v="553.08000000000004"/>
    <n v="3"/>
    <n v="0.14285714285714285"/>
    <n v="360.7"/>
    <n v="3"/>
    <n v="3.3399999999999999E-2"/>
  </r>
  <r>
    <x v="13"/>
    <x v="1"/>
    <x v="1"/>
    <x v="32"/>
    <n v="8"/>
    <n v="223.22"/>
    <n v="2"/>
    <n v="0.25"/>
    <n v="3595.12"/>
    <n v="2"/>
    <n v="4.3400000000000001E-2"/>
  </r>
  <r>
    <x v="14"/>
    <x v="1"/>
    <x v="1"/>
    <x v="33"/>
    <n v="8"/>
    <n v="199.93"/>
    <n v="2"/>
    <n v="0.25"/>
    <n v="610.66"/>
    <n v="1"/>
    <n v="2.8199999999999999E-2"/>
  </r>
  <r>
    <x v="15"/>
    <x v="1"/>
    <x v="1"/>
    <x v="15"/>
    <n v="6"/>
    <n v="180.46"/>
    <n v="5"/>
    <n v="0.83333333333333337"/>
    <n v="1173.27"/>
    <n v="3"/>
    <n v="7.5300000000000006E-2"/>
  </r>
  <r>
    <x v="16"/>
    <x v="1"/>
    <x v="1"/>
    <x v="15"/>
    <n v="7"/>
    <n v="80.12"/>
    <n v="6"/>
    <n v="0.8571428571428571"/>
    <n v="3794.02"/>
    <n v="2"/>
    <n v="9.5000000000000001E-2"/>
  </r>
  <r>
    <x v="17"/>
    <x v="1"/>
    <x v="1"/>
    <x v="34"/>
    <n v="14"/>
    <n v="563.79"/>
    <n v="8"/>
    <n v="0.5714285714285714"/>
    <n v="3616.21"/>
    <n v="1"/>
    <n v="3.61E-2"/>
  </r>
  <r>
    <x v="18"/>
    <x v="1"/>
    <x v="1"/>
    <x v="35"/>
    <n v="20"/>
    <n v="193.39"/>
    <n v="5"/>
    <n v="0.25"/>
    <n v="402.53"/>
    <n v="3"/>
    <n v="0.1013"/>
  </r>
  <r>
    <x v="19"/>
    <x v="1"/>
    <x v="1"/>
    <x v="36"/>
    <n v="11"/>
    <n v="454.77"/>
    <n v="1"/>
    <n v="9.0909090909090912E-2"/>
    <n v="1152.4100000000001"/>
    <n v="2"/>
    <n v="1E-3"/>
  </r>
  <r>
    <x v="20"/>
    <x v="1"/>
    <x v="1"/>
    <x v="24"/>
    <n v="17"/>
    <n v="291.97000000000003"/>
    <n v="1"/>
    <n v="5.8823529411764705E-2"/>
    <n v="1703.6"/>
    <n v="1"/>
    <n v="5.21E-2"/>
  </r>
  <r>
    <x v="21"/>
    <x v="1"/>
    <x v="1"/>
    <x v="1"/>
    <n v="5"/>
    <n v="553.86"/>
    <n v="1"/>
    <n v="0.2"/>
    <n v="3503.57"/>
    <n v="3"/>
    <n v="3.1300000000000001E-2"/>
  </r>
  <r>
    <x v="22"/>
    <x v="1"/>
    <x v="1"/>
    <x v="6"/>
    <n v="7"/>
    <n v="171.76"/>
    <n v="7"/>
    <n v="1"/>
    <n v="548.36"/>
    <n v="2"/>
    <n v="8.2500000000000004E-2"/>
  </r>
  <r>
    <x v="23"/>
    <x v="1"/>
    <x v="1"/>
    <x v="35"/>
    <n v="16"/>
    <n v="382.21"/>
    <n v="1"/>
    <n v="6.25E-2"/>
    <n v="3017.43"/>
    <n v="3"/>
    <n v="2.4199999999999999E-2"/>
  </r>
  <r>
    <x v="24"/>
    <x v="1"/>
    <x v="1"/>
    <x v="14"/>
    <n v="11"/>
    <n v="562.73"/>
    <n v="4"/>
    <n v="0.36363636363636365"/>
    <n v="221.94"/>
    <n v="2"/>
    <n v="6.7400000000000002E-2"/>
  </r>
  <r>
    <x v="25"/>
    <x v="1"/>
    <x v="1"/>
    <x v="8"/>
    <n v="17"/>
    <n v="380.37"/>
    <n v="7"/>
    <n v="0.41176470588235292"/>
    <n v="4183.2700000000004"/>
    <n v="1"/>
    <n v="8.8699999999999987E-2"/>
  </r>
  <r>
    <x v="0"/>
    <x v="1"/>
    <x v="2"/>
    <x v="37"/>
    <n v="17"/>
    <n v="315.62"/>
    <n v="5"/>
    <n v="0.29411764705882354"/>
    <n v="3890.73"/>
    <n v="3"/>
    <n v="2.8799999999999999E-2"/>
  </r>
  <r>
    <x v="1"/>
    <x v="1"/>
    <x v="2"/>
    <x v="38"/>
    <n v="10"/>
    <n v="361.58"/>
    <n v="4"/>
    <n v="0.4"/>
    <n v="3674.37"/>
    <n v="2"/>
    <n v="4.0800000000000003E-2"/>
  </r>
  <r>
    <x v="2"/>
    <x v="1"/>
    <x v="2"/>
    <x v="5"/>
    <n v="13"/>
    <n v="402.9"/>
    <n v="2"/>
    <n v="0.15384615384615385"/>
    <n v="3357.27"/>
    <n v="1"/>
    <n v="4.2599999999999999E-2"/>
  </r>
  <r>
    <x v="3"/>
    <x v="1"/>
    <x v="2"/>
    <x v="39"/>
    <n v="6"/>
    <n v="82.65"/>
    <n v="3"/>
    <n v="0.5"/>
    <n v="1469.62"/>
    <n v="3"/>
    <n v="3.0699999999999998E-2"/>
  </r>
  <r>
    <x v="4"/>
    <x v="1"/>
    <x v="2"/>
    <x v="40"/>
    <n v="14"/>
    <n v="494.43"/>
    <n v="4"/>
    <n v="0.2857142857142857"/>
    <n v="963.35"/>
    <n v="2"/>
    <n v="3.6699999999999997E-2"/>
  </r>
  <r>
    <x v="5"/>
    <x v="1"/>
    <x v="2"/>
    <x v="41"/>
    <n v="8"/>
    <n v="512.92999999999995"/>
    <n v="3"/>
    <n v="0.375"/>
    <n v="3725.66"/>
    <n v="1"/>
    <n v="1.1599999999999999E-2"/>
  </r>
  <r>
    <x v="6"/>
    <x v="1"/>
    <x v="2"/>
    <x v="42"/>
    <n v="18"/>
    <n v="291.04000000000002"/>
    <n v="2"/>
    <n v="0.1111111111111111"/>
    <n v="2619.84"/>
    <n v="3"/>
    <n v="0.10550000000000001"/>
  </r>
  <r>
    <x v="7"/>
    <x v="1"/>
    <x v="2"/>
    <x v="22"/>
    <n v="9"/>
    <n v="252.77"/>
    <n v="7"/>
    <n v="0.77777777777777779"/>
    <n v="4641.6099999999997"/>
    <n v="2"/>
    <n v="4.0800000000000003E-2"/>
  </r>
  <r>
    <x v="8"/>
    <x v="1"/>
    <x v="2"/>
    <x v="43"/>
    <n v="18"/>
    <n v="348.57"/>
    <n v="8"/>
    <n v="0.44444444444444442"/>
    <n v="1169.6400000000001"/>
    <n v="1"/>
    <n v="5.4800000000000001E-2"/>
  </r>
  <r>
    <x v="9"/>
    <x v="1"/>
    <x v="2"/>
    <x v="12"/>
    <n v="15"/>
    <n v="321.99"/>
    <n v="8"/>
    <n v="0.53333333333333333"/>
    <n v="1080.0899999999999"/>
    <n v="1"/>
    <n v="3.5499999999999997E-2"/>
  </r>
  <r>
    <x v="10"/>
    <x v="1"/>
    <x v="2"/>
    <x v="44"/>
    <n v="9"/>
    <n v="199.87"/>
    <n v="9"/>
    <n v="1"/>
    <n v="818.64"/>
    <n v="3"/>
    <n v="7.46E-2"/>
  </r>
  <r>
    <x v="11"/>
    <x v="1"/>
    <x v="2"/>
    <x v="32"/>
    <n v="5"/>
    <n v="565.19000000000005"/>
    <n v="4"/>
    <n v="0.8"/>
    <n v="3621.51"/>
    <n v="2"/>
    <n v="4.3099999999999999E-2"/>
  </r>
  <r>
    <x v="12"/>
    <x v="1"/>
    <x v="2"/>
    <x v="6"/>
    <n v="19"/>
    <n v="623.25"/>
    <n v="3"/>
    <n v="0.15789473684210525"/>
    <n v="355.96"/>
    <n v="1"/>
    <n v="3.6299999999999999E-2"/>
  </r>
  <r>
    <x v="13"/>
    <x v="1"/>
    <x v="2"/>
    <x v="14"/>
    <n v="9"/>
    <n v="209.18"/>
    <n v="2"/>
    <n v="0.22222222222222221"/>
    <n v="4153.3100000000004"/>
    <n v="3"/>
    <n v="4.0399999999999998E-2"/>
  </r>
  <r>
    <x v="14"/>
    <x v="1"/>
    <x v="2"/>
    <x v="45"/>
    <n v="7"/>
    <n v="190.5"/>
    <n v="3"/>
    <n v="0.42857142857142855"/>
    <n v="661.2"/>
    <n v="2"/>
    <n v="2.7699999999999999E-2"/>
  </r>
  <r>
    <x v="15"/>
    <x v="1"/>
    <x v="2"/>
    <x v="35"/>
    <n v="5"/>
    <n v="170.12"/>
    <n v="3"/>
    <n v="0.6"/>
    <n v="1171.95"/>
    <n v="1"/>
    <n v="7.690000000000001E-2"/>
  </r>
  <r>
    <x v="16"/>
    <x v="1"/>
    <x v="2"/>
    <x v="0"/>
    <n v="7"/>
    <n v="87.89"/>
    <n v="7"/>
    <n v="1"/>
    <n v="3848.14"/>
    <n v="3"/>
    <n v="8.6699999999999999E-2"/>
  </r>
  <r>
    <x v="17"/>
    <x v="1"/>
    <x v="2"/>
    <x v="34"/>
    <n v="14"/>
    <n v="498.82"/>
    <n v="5"/>
    <n v="0.35714285714285715"/>
    <n v="4039.26"/>
    <n v="2"/>
    <n v="3.4000000000000002E-2"/>
  </r>
  <r>
    <x v="18"/>
    <x v="2"/>
    <x v="2"/>
    <x v="46"/>
    <n v="15"/>
    <n v="163.21"/>
    <n v="5"/>
    <n v="0.33333333333333331"/>
    <n v="411.36"/>
    <n v="1"/>
    <n v="0.1014"/>
  </r>
  <r>
    <x v="19"/>
    <x v="2"/>
    <x v="2"/>
    <x v="47"/>
    <n v="13"/>
    <n v="496.4"/>
    <n v="0"/>
    <n v="0"/>
    <n v="1306.3800000000001"/>
    <n v="3"/>
    <n v="1.1000000000000001E-3"/>
  </r>
  <r>
    <x v="20"/>
    <x v="2"/>
    <x v="2"/>
    <x v="34"/>
    <n v="13"/>
    <n v="315.41000000000003"/>
    <n v="1"/>
    <n v="7.6923076923076927E-2"/>
    <n v="1692.59"/>
    <n v="2"/>
    <n v="5.0999999999999997E-2"/>
  </r>
  <r>
    <x v="21"/>
    <x v="2"/>
    <x v="2"/>
    <x v="48"/>
    <n v="6"/>
    <n v="535.37"/>
    <n v="2"/>
    <n v="0.33333333333333331"/>
    <n v="3113.29"/>
    <n v="1"/>
    <n v="3.2099999999999997E-2"/>
  </r>
  <r>
    <x v="22"/>
    <x v="2"/>
    <x v="2"/>
    <x v="22"/>
    <n v="8"/>
    <n v="198.84"/>
    <n v="8"/>
    <n v="1"/>
    <n v="534.58000000000004"/>
    <n v="3"/>
    <n v="8.8000000000000009E-2"/>
  </r>
  <r>
    <x v="23"/>
    <x v="2"/>
    <x v="2"/>
    <x v="49"/>
    <n v="14"/>
    <n v="416.78"/>
    <n v="1"/>
    <n v="7.1428571428571425E-2"/>
    <n v="2989.69"/>
    <n v="2"/>
    <n v="2.5499999999999998E-2"/>
  </r>
  <r>
    <x v="24"/>
    <x v="2"/>
    <x v="2"/>
    <x v="50"/>
    <n v="12"/>
    <n v="533.85"/>
    <n v="5"/>
    <n v="0.41666666666666669"/>
    <n v="224.87"/>
    <n v="1"/>
    <n v="6.480000000000001E-2"/>
  </r>
  <r>
    <x v="25"/>
    <x v="2"/>
    <x v="2"/>
    <x v="51"/>
    <n v="16"/>
    <n v="312.8"/>
    <n v="8"/>
    <n v="0.5"/>
    <n v="4592.09"/>
    <n v="3"/>
    <n v="8.5500000000000007E-2"/>
  </r>
  <r>
    <x v="0"/>
    <x v="2"/>
    <x v="3"/>
    <x v="33"/>
    <n v="17"/>
    <n v="342.81"/>
    <n v="6"/>
    <n v="0.35294117647058826"/>
    <n v="3728.2"/>
    <n v="2"/>
    <n v="2.9600000000000001E-2"/>
  </r>
  <r>
    <x v="1"/>
    <x v="2"/>
    <x v="3"/>
    <x v="35"/>
    <n v="11"/>
    <n v="365.12"/>
    <n v="5"/>
    <n v="0.45454545454545453"/>
    <n v="3682.69"/>
    <n v="1"/>
    <n v="3.8199999999999998E-2"/>
  </r>
  <r>
    <x v="2"/>
    <x v="2"/>
    <x v="3"/>
    <x v="52"/>
    <n v="14"/>
    <n v="416.88"/>
    <n v="2"/>
    <n v="0.14285714285714285"/>
    <n v="3638.83"/>
    <n v="3"/>
    <n v="4.41E-2"/>
  </r>
  <r>
    <x v="3"/>
    <x v="2"/>
    <x v="3"/>
    <x v="53"/>
    <n v="7"/>
    <n v="81.14"/>
    <n v="3"/>
    <n v="0.42857142857142855"/>
    <n v="1419.04"/>
    <n v="2"/>
    <n v="2.9399999999999999E-2"/>
  </r>
  <r>
    <x v="4"/>
    <x v="2"/>
    <x v="3"/>
    <x v="54"/>
    <n v="16"/>
    <n v="449.04"/>
    <n v="4"/>
    <n v="0.25"/>
    <n v="1019.97"/>
    <n v="1"/>
    <n v="3.8100000000000002E-2"/>
  </r>
  <r>
    <x v="5"/>
    <x v="2"/>
    <x v="3"/>
    <x v="55"/>
    <n v="6"/>
    <n v="508.55"/>
    <n v="3"/>
    <n v="0.5"/>
    <n v="3633.75"/>
    <n v="3"/>
    <n v="1.1399999999999999E-2"/>
  </r>
  <r>
    <x v="6"/>
    <x v="2"/>
    <x v="3"/>
    <x v="55"/>
    <n v="18"/>
    <n v="299.08999999999997"/>
    <n v="2"/>
    <n v="0.1111111111111111"/>
    <n v="2378.29"/>
    <n v="2"/>
    <n v="0.1052"/>
  </r>
  <r>
    <x v="7"/>
    <x v="2"/>
    <x v="3"/>
    <x v="56"/>
    <n v="6"/>
    <n v="246.21"/>
    <n v="5"/>
    <n v="0.83333333333333337"/>
    <n v="4155.8"/>
    <n v="1"/>
    <n v="4.3299999999999998E-2"/>
  </r>
  <r>
    <x v="8"/>
    <x v="2"/>
    <x v="3"/>
    <x v="57"/>
    <n v="16"/>
    <n v="412.07"/>
    <n v="10"/>
    <n v="0.625"/>
    <n v="1075.94"/>
    <n v="1"/>
    <n v="6.2400000000000004E-2"/>
  </r>
  <r>
    <x v="9"/>
    <x v="2"/>
    <x v="3"/>
    <x v="47"/>
    <n v="13"/>
    <n v="317.58"/>
    <n v="8"/>
    <n v="0.61538461538461542"/>
    <n v="1088.22"/>
    <n v="3"/>
    <n v="3.49E-2"/>
  </r>
  <r>
    <x v="10"/>
    <x v="2"/>
    <x v="3"/>
    <x v="44"/>
    <n v="7"/>
    <n v="181.58"/>
    <n v="6"/>
    <n v="0.8571428571428571"/>
    <n v="868.4"/>
    <n v="2"/>
    <n v="8.4100000000000008E-2"/>
  </r>
  <r>
    <x v="11"/>
    <x v="2"/>
    <x v="3"/>
    <x v="29"/>
    <n v="7"/>
    <n v="470.85"/>
    <n v="7"/>
    <n v="1"/>
    <n v="3483.6"/>
    <n v="1"/>
    <n v="4.2599999999999999E-2"/>
  </r>
  <r>
    <x v="12"/>
    <x v="2"/>
    <x v="3"/>
    <x v="4"/>
    <n v="16"/>
    <n v="584.29999999999995"/>
    <n v="3"/>
    <n v="0.1875"/>
    <n v="377.45"/>
    <n v="3"/>
    <n v="3.32E-2"/>
  </r>
  <r>
    <x v="13"/>
    <x v="2"/>
    <x v="3"/>
    <x v="58"/>
    <n v="6"/>
    <n v="231.59"/>
    <n v="2"/>
    <n v="0.33333333333333331"/>
    <n v="3988.15"/>
    <n v="2"/>
    <n v="3.8399999999999997E-2"/>
  </r>
  <r>
    <x v="14"/>
    <x v="3"/>
    <x v="3"/>
    <x v="33"/>
    <n v="9"/>
    <n v="221.01"/>
    <n v="3"/>
    <n v="0.33333333333333331"/>
    <n v="643.44000000000005"/>
    <n v="1"/>
    <n v="3.2000000000000001E-2"/>
  </r>
  <r>
    <x v="15"/>
    <x v="3"/>
    <x v="3"/>
    <x v="59"/>
    <n v="6"/>
    <n v="165.74"/>
    <n v="6"/>
    <n v="1"/>
    <n v="1169.3800000000001"/>
    <n v="3"/>
    <n v="7.7699999999999991E-2"/>
  </r>
  <r>
    <x v="16"/>
    <x v="3"/>
    <x v="3"/>
    <x v="60"/>
    <n v="7"/>
    <n v="82.62"/>
    <n v="6"/>
    <n v="0.8571428571428571"/>
    <n v="4085.91"/>
    <n v="2"/>
    <n v="9.0500000000000011E-2"/>
  </r>
  <r>
    <x v="17"/>
    <x v="3"/>
    <x v="3"/>
    <x v="58"/>
    <n v="17"/>
    <n v="526.34"/>
    <n v="6"/>
    <n v="0.35294117647058826"/>
    <n v="3360.11"/>
    <n v="1"/>
    <n v="3.0600000000000002E-2"/>
  </r>
  <r>
    <x v="18"/>
    <x v="3"/>
    <x v="3"/>
    <x v="61"/>
    <n v="22"/>
    <n v="190.87"/>
    <n v="4"/>
    <n v="0.18181818181818182"/>
    <n v="433.41"/>
    <n v="3"/>
    <n v="9.3599999999999989E-2"/>
  </r>
  <r>
    <x v="19"/>
    <x v="3"/>
    <x v="3"/>
    <x v="19"/>
    <n v="11"/>
    <n v="554.51"/>
    <n v="1"/>
    <n v="9.0909090909090912E-2"/>
    <n v="1138.51"/>
    <n v="2"/>
    <n v="1E-3"/>
  </r>
  <r>
    <x v="20"/>
    <x v="3"/>
    <x v="3"/>
    <x v="24"/>
    <n v="13"/>
    <n v="302.49"/>
    <n v="2"/>
    <n v="0.15384615384615385"/>
    <n v="1591.45"/>
    <n v="3"/>
    <n v="4.9599999999999998E-2"/>
  </r>
  <r>
    <x v="21"/>
    <x v="3"/>
    <x v="3"/>
    <x v="38"/>
    <n v="5"/>
    <n v="605.11"/>
    <n v="2"/>
    <n v="0.4"/>
    <n v="3499.88"/>
    <n v="2"/>
    <n v="3.0200000000000001E-2"/>
  </r>
  <r>
    <x v="22"/>
    <x v="3"/>
    <x v="3"/>
    <x v="40"/>
    <n v="8"/>
    <n v="173.88"/>
    <n v="6"/>
    <n v="0.75"/>
    <n v="462.44"/>
    <n v="1"/>
    <n v="7.9899999999999999E-2"/>
  </r>
  <r>
    <x v="23"/>
    <x v="3"/>
    <x v="3"/>
    <x v="27"/>
    <n v="17"/>
    <n v="366.84"/>
    <n v="0"/>
    <n v="0"/>
    <n v="3153.56"/>
    <n v="3"/>
    <n v="2.4500000000000001E-2"/>
  </r>
  <r>
    <x v="24"/>
    <x v="3"/>
    <x v="3"/>
    <x v="43"/>
    <n v="9"/>
    <n v="578.41999999999996"/>
    <n v="4"/>
    <n v="0.44444444444444442"/>
    <n v="229.72"/>
    <n v="2"/>
    <n v="7.46E-2"/>
  </r>
  <r>
    <x v="25"/>
    <x v="3"/>
    <x v="3"/>
    <x v="62"/>
    <n v="14"/>
    <n v="321.29000000000002"/>
    <n v="7"/>
    <n v="0.5"/>
    <n v="4298.2700000000004"/>
    <n v="1"/>
    <n v="7.4499999999999997E-2"/>
  </r>
  <r>
    <x v="0"/>
    <x v="3"/>
    <x v="4"/>
    <x v="33"/>
    <n v="16"/>
    <n v="299.22000000000003"/>
    <n v="6"/>
    <n v="0.375"/>
    <n v="3716.14"/>
    <n v="3"/>
    <n v="2.63E-2"/>
  </r>
  <r>
    <x v="1"/>
    <x v="3"/>
    <x v="4"/>
    <x v="6"/>
    <n v="11"/>
    <n v="345.62"/>
    <n v="4"/>
    <n v="0.36363636363636365"/>
    <n v="3558.13"/>
    <n v="2"/>
    <n v="4.0800000000000003E-2"/>
  </r>
  <r>
    <x v="2"/>
    <x v="3"/>
    <x v="4"/>
    <x v="63"/>
    <n v="17"/>
    <n v="416.96"/>
    <n v="3"/>
    <n v="0.17647058823529413"/>
    <n v="3327.07"/>
    <n v="1"/>
    <n v="4.0999999999999995E-2"/>
  </r>
  <r>
    <x v="3"/>
    <x v="3"/>
    <x v="4"/>
    <x v="53"/>
    <n v="8"/>
    <n v="72.05"/>
    <n v="3"/>
    <n v="0.375"/>
    <n v="1672.82"/>
    <n v="3"/>
    <n v="3.0299999999999997E-2"/>
  </r>
  <r>
    <x v="4"/>
    <x v="3"/>
    <x v="4"/>
    <x v="64"/>
    <n v="13"/>
    <n v="475.61"/>
    <n v="5"/>
    <n v="0.38461538461538464"/>
    <n v="939.32"/>
    <n v="2"/>
    <n v="3.6400000000000002E-2"/>
  </r>
  <r>
    <x v="5"/>
    <x v="3"/>
    <x v="4"/>
    <x v="65"/>
    <n v="7"/>
    <n v="469.53"/>
    <n v="3"/>
    <n v="0.42857142857142855"/>
    <n v="3623.32"/>
    <n v="1"/>
    <n v="1.21E-2"/>
  </r>
  <r>
    <x v="6"/>
    <x v="3"/>
    <x v="4"/>
    <x v="66"/>
    <n v="15"/>
    <n v="333.1"/>
    <n v="2"/>
    <n v="0.13333333333333333"/>
    <n v="2631.58"/>
    <n v="1"/>
    <n v="0.10249999999999999"/>
  </r>
  <r>
    <x v="7"/>
    <x v="3"/>
    <x v="4"/>
    <x v="19"/>
    <n v="9"/>
    <n v="258.11"/>
    <n v="7"/>
    <n v="0.77777777777777779"/>
    <n v="4064.36"/>
    <n v="3"/>
    <n v="4.1599999999999998E-2"/>
  </r>
  <r>
    <x v="8"/>
    <x v="3"/>
    <x v="4"/>
    <x v="14"/>
    <n v="20"/>
    <n v="400.8"/>
    <n v="8"/>
    <n v="0.4"/>
    <n v="1294.3599999999999"/>
    <n v="2"/>
    <n v="5.6399999999999999E-2"/>
  </r>
  <r>
    <x v="9"/>
    <x v="3"/>
    <x v="4"/>
    <x v="67"/>
    <n v="19"/>
    <n v="343.28"/>
    <n v="9"/>
    <n v="0.47368421052631576"/>
    <n v="899.46"/>
    <n v="1"/>
    <n v="3.2199999999999999E-2"/>
  </r>
  <r>
    <x v="10"/>
    <x v="3"/>
    <x v="4"/>
    <x v="9"/>
    <n v="7"/>
    <n v="204.63"/>
    <n v="7"/>
    <n v="1"/>
    <n v="789.77"/>
    <n v="3"/>
    <n v="7.4499999999999997E-2"/>
  </r>
  <r>
    <x v="11"/>
    <x v="3"/>
    <x v="4"/>
    <x v="31"/>
    <n v="6"/>
    <n v="553.11"/>
    <n v="4"/>
    <n v="0.66666666666666663"/>
    <n v="3867.67"/>
    <n v="2"/>
    <n v="3.8300000000000001E-2"/>
  </r>
  <r>
    <x v="12"/>
    <x v="3"/>
    <x v="4"/>
    <x v="0"/>
    <n v="20"/>
    <n v="623.33000000000004"/>
    <n v="2"/>
    <n v="0.1"/>
    <n v="359.97"/>
    <n v="1"/>
    <n v="3.8399999999999997E-2"/>
  </r>
  <r>
    <x v="13"/>
    <x v="3"/>
    <x v="4"/>
    <x v="58"/>
    <n v="7"/>
    <n v="200.45"/>
    <n v="1"/>
    <n v="0.14285714285714285"/>
    <n v="3797.35"/>
    <n v="3"/>
    <n v="4.1399999999999999E-2"/>
  </r>
  <r>
    <x v="14"/>
    <x v="3"/>
    <x v="4"/>
    <x v="41"/>
    <n v="7"/>
    <n v="196.2"/>
    <n v="2"/>
    <n v="0.2857142857142857"/>
    <n v="592.71"/>
    <n v="2"/>
    <n v="2.76E-2"/>
  </r>
  <r>
    <x v="15"/>
    <x v="3"/>
    <x v="4"/>
    <x v="68"/>
    <n v="5"/>
    <n v="185.62"/>
    <n v="4"/>
    <n v="0.8"/>
    <n v="1282.81"/>
    <n v="1"/>
    <n v="7.22E-2"/>
  </r>
  <r>
    <x v="16"/>
    <x v="3"/>
    <x v="4"/>
    <x v="38"/>
    <n v="7"/>
    <n v="89.39"/>
    <n v="6"/>
    <n v="0.8571428571428571"/>
    <n v="3971.59"/>
    <n v="3"/>
    <n v="9.0700000000000003E-2"/>
  </r>
  <r>
    <x v="17"/>
    <x v="3"/>
    <x v="4"/>
    <x v="34"/>
    <n v="14"/>
    <n v="472.79"/>
    <n v="8"/>
    <n v="0.5714285714285714"/>
    <n v="3830.32"/>
    <n v="2"/>
    <n v="3.5200000000000002E-2"/>
  </r>
  <r>
    <x v="18"/>
    <x v="3"/>
    <x v="4"/>
    <x v="38"/>
    <n v="15"/>
    <n v="173.03"/>
    <n v="4"/>
    <n v="0.26666666666666666"/>
    <n v="386.08"/>
    <n v="1"/>
    <n v="9.820000000000001E-2"/>
  </r>
  <r>
    <x v="19"/>
    <x v="3"/>
    <x v="4"/>
    <x v="11"/>
    <n v="15"/>
    <n v="499.68"/>
    <n v="0"/>
    <n v="0"/>
    <n v="1287.1300000000001"/>
    <n v="3"/>
    <n v="1E-3"/>
  </r>
  <r>
    <x v="20"/>
    <x v="3"/>
    <x v="4"/>
    <x v="39"/>
    <n v="13"/>
    <n v="316.23"/>
    <n v="1"/>
    <n v="7.6923076923076927E-2"/>
    <n v="1598.49"/>
    <n v="2"/>
    <n v="5.8299999999999998E-2"/>
  </r>
  <r>
    <x v="21"/>
    <x v="3"/>
    <x v="4"/>
    <x v="69"/>
    <n v="6"/>
    <n v="567.03"/>
    <n v="1"/>
    <n v="0.16666666666666666"/>
    <n v="3496.65"/>
    <n v="1"/>
    <n v="3.0600000000000002E-2"/>
  </r>
  <r>
    <x v="22"/>
    <x v="3"/>
    <x v="4"/>
    <x v="16"/>
    <n v="8"/>
    <n v="175.52"/>
    <n v="7"/>
    <n v="0.875"/>
    <n v="455.32"/>
    <n v="3"/>
    <n v="9.35E-2"/>
  </r>
  <r>
    <x v="23"/>
    <x v="3"/>
    <x v="4"/>
    <x v="70"/>
    <n v="13"/>
    <n v="358.31"/>
    <n v="0"/>
    <n v="0"/>
    <n v="2811.77"/>
    <n v="2"/>
    <n v="2.7099999999999999E-2"/>
  </r>
  <r>
    <x v="24"/>
    <x v="3"/>
    <x v="4"/>
    <x v="20"/>
    <n v="12"/>
    <n v="556.33000000000004"/>
    <n v="4"/>
    <n v="0.33333333333333331"/>
    <n v="241.08"/>
    <n v="1"/>
    <n v="7.0599999999999996E-2"/>
  </r>
  <r>
    <x v="25"/>
    <x v="3"/>
    <x v="4"/>
    <x v="43"/>
    <n v="17"/>
    <n v="371.65"/>
    <n v="9"/>
    <n v="0.52941176470588236"/>
    <n v="4068.75"/>
    <n v="3"/>
    <n v="8.5500000000000007E-2"/>
  </r>
  <r>
    <x v="0"/>
    <x v="3"/>
    <x v="5"/>
    <x v="5"/>
    <n v="16"/>
    <n v="359.47"/>
    <n v="7"/>
    <n v="0.4375"/>
    <n v="3958.94"/>
    <n v="2"/>
    <n v="2.46E-2"/>
  </r>
  <r>
    <x v="1"/>
    <x v="3"/>
    <x v="5"/>
    <x v="71"/>
    <n v="11"/>
    <n v="379.33"/>
    <n v="4"/>
    <n v="0.36363636363636365"/>
    <n v="4003.52"/>
    <n v="1"/>
    <n v="4.2900000000000001E-2"/>
  </r>
  <r>
    <x v="2"/>
    <x v="3"/>
    <x v="5"/>
    <x v="28"/>
    <n v="14"/>
    <n v="383.94"/>
    <n v="3"/>
    <n v="0.21428571428571427"/>
    <n v="3173.36"/>
    <n v="3"/>
    <n v="4.0999999999999995E-2"/>
  </r>
  <r>
    <x v="3"/>
    <x v="3"/>
    <x v="5"/>
    <x v="9"/>
    <n v="7"/>
    <n v="85.32"/>
    <n v="3"/>
    <n v="0.42857142857142855"/>
    <n v="1431.69"/>
    <n v="2"/>
    <n v="3.1600000000000003E-2"/>
  </r>
  <r>
    <x v="4"/>
    <x v="3"/>
    <x v="5"/>
    <x v="25"/>
    <n v="14"/>
    <n v="466.81"/>
    <n v="5"/>
    <n v="0.35714285714285715"/>
    <n v="988.98"/>
    <n v="1"/>
    <n v="4.2300000000000004E-2"/>
  </r>
  <r>
    <x v="5"/>
    <x v="4"/>
    <x v="5"/>
    <x v="65"/>
    <n v="7"/>
    <n v="512.88"/>
    <n v="2"/>
    <n v="0.2857142857142857"/>
    <n v="3545.66"/>
    <n v="1"/>
    <n v="1.2699999999999999E-2"/>
  </r>
  <r>
    <x v="6"/>
    <x v="4"/>
    <x v="5"/>
    <x v="64"/>
    <n v="17"/>
    <n v="324.56"/>
    <n v="3"/>
    <n v="0.17647058823529413"/>
    <n v="2420.5300000000002"/>
    <n v="3"/>
    <n v="8.929999999999999E-2"/>
  </r>
  <r>
    <x v="7"/>
    <x v="4"/>
    <x v="5"/>
    <x v="45"/>
    <n v="7"/>
    <n v="219.53"/>
    <n v="7"/>
    <n v="1"/>
    <n v="3860.12"/>
    <n v="2"/>
    <n v="4.3499999999999997E-2"/>
  </r>
  <r>
    <x v="8"/>
    <x v="4"/>
    <x v="5"/>
    <x v="32"/>
    <n v="16"/>
    <n v="353.65"/>
    <n v="9"/>
    <n v="0.5625"/>
    <n v="1213.5899999999999"/>
    <n v="1"/>
    <n v="6.2E-2"/>
  </r>
  <r>
    <x v="9"/>
    <x v="4"/>
    <x v="5"/>
    <x v="12"/>
    <n v="16"/>
    <n v="334.41"/>
    <n v="9"/>
    <n v="0.5625"/>
    <n v="1056.98"/>
    <n v="3"/>
    <n v="3.5200000000000002E-2"/>
  </r>
  <r>
    <x v="10"/>
    <x v="4"/>
    <x v="5"/>
    <x v="39"/>
    <n v="7"/>
    <n v="199.46"/>
    <n v="7"/>
    <n v="1"/>
    <n v="809.56"/>
    <n v="2"/>
    <n v="7.1399999999999991E-2"/>
  </r>
  <r>
    <x v="11"/>
    <x v="4"/>
    <x v="5"/>
    <x v="72"/>
    <n v="6"/>
    <n v="509.67"/>
    <n v="4"/>
    <n v="0.66666666666666663"/>
    <n v="3330.44"/>
    <n v="1"/>
    <n v="3.8300000000000001E-2"/>
  </r>
  <r>
    <x v="12"/>
    <x v="4"/>
    <x v="5"/>
    <x v="16"/>
    <n v="21"/>
    <n v="601.02"/>
    <n v="2"/>
    <n v="9.5238095238095233E-2"/>
    <n v="364.56"/>
    <n v="3"/>
    <n v="3.4300000000000004E-2"/>
  </r>
  <r>
    <x v="13"/>
    <x v="4"/>
    <x v="5"/>
    <x v="10"/>
    <n v="9"/>
    <n v="196.74"/>
    <n v="1"/>
    <n v="0.1111111111111111"/>
    <n v="3760.57"/>
    <n v="2"/>
    <n v="3.9800000000000002E-2"/>
  </r>
  <r>
    <x v="14"/>
    <x v="4"/>
    <x v="5"/>
    <x v="73"/>
    <n v="8"/>
    <n v="196.58"/>
    <n v="3"/>
    <n v="0.375"/>
    <n v="692.47"/>
    <n v="1"/>
    <n v="3.27E-2"/>
  </r>
  <r>
    <x v="15"/>
    <x v="4"/>
    <x v="5"/>
    <x v="60"/>
    <n v="5"/>
    <n v="153.87"/>
    <n v="2"/>
    <n v="0.4"/>
    <n v="1190.24"/>
    <n v="3"/>
    <n v="8.0600000000000005E-2"/>
  </r>
  <r>
    <x v="16"/>
    <x v="4"/>
    <x v="5"/>
    <x v="25"/>
    <n v="5"/>
    <n v="85.65"/>
    <n v="5"/>
    <n v="1"/>
    <n v="3913.17"/>
    <n v="2"/>
    <n v="9.5700000000000007E-2"/>
  </r>
  <r>
    <x v="17"/>
    <x v="4"/>
    <x v="5"/>
    <x v="50"/>
    <n v="16"/>
    <n v="506.95"/>
    <n v="6"/>
    <n v="0.375"/>
    <n v="3993.03"/>
    <n v="3"/>
    <n v="3.0600000000000002E-2"/>
  </r>
  <r>
    <x v="18"/>
    <x v="4"/>
    <x v="5"/>
    <x v="42"/>
    <n v="18"/>
    <n v="181.21"/>
    <n v="4"/>
    <n v="0.22222222222222221"/>
    <n v="377.13"/>
    <n v="2"/>
    <n v="0.10009999999999999"/>
  </r>
  <r>
    <x v="19"/>
    <x v="4"/>
    <x v="5"/>
    <x v="33"/>
    <n v="16"/>
    <n v="495.32"/>
    <n v="0"/>
    <n v="0"/>
    <n v="1262.99"/>
    <n v="1"/>
    <n v="1E-3"/>
  </r>
  <r>
    <x v="20"/>
    <x v="4"/>
    <x v="5"/>
    <x v="34"/>
    <n v="16"/>
    <n v="315.91000000000003"/>
    <n v="1"/>
    <n v="6.25E-2"/>
    <n v="1455.83"/>
    <n v="3"/>
    <n v="5.1299999999999998E-2"/>
  </r>
  <r>
    <x v="21"/>
    <x v="4"/>
    <x v="5"/>
    <x v="15"/>
    <n v="5"/>
    <n v="569.75"/>
    <n v="2"/>
    <n v="0.4"/>
    <n v="3734.43"/>
    <n v="2"/>
    <n v="2.76E-2"/>
  </r>
  <r>
    <x v="22"/>
    <x v="4"/>
    <x v="5"/>
    <x v="73"/>
    <n v="7"/>
    <n v="173.24"/>
    <n v="7"/>
    <n v="1"/>
    <n v="525.73"/>
    <n v="1"/>
    <n v="8.2299999999999998E-2"/>
  </r>
  <r>
    <x v="23"/>
    <x v="4"/>
    <x v="5"/>
    <x v="74"/>
    <n v="13"/>
    <n v="364.35"/>
    <n v="0"/>
    <n v="0"/>
    <n v="2988.28"/>
    <n v="3"/>
    <n v="2.58E-2"/>
  </r>
  <r>
    <x v="24"/>
    <x v="4"/>
    <x v="5"/>
    <x v="31"/>
    <n v="12"/>
    <n v="515.24"/>
    <n v="5"/>
    <n v="0.41666666666666669"/>
    <n v="224.24"/>
    <n v="2"/>
    <n v="6.9800000000000001E-2"/>
  </r>
  <r>
    <x v="25"/>
    <x v="4"/>
    <x v="5"/>
    <x v="31"/>
    <n v="16"/>
    <n v="351.71"/>
    <n v="9"/>
    <n v="0.5625"/>
    <n v="3984.69"/>
    <n v="1"/>
    <n v="7.4099999999999999E-2"/>
  </r>
  <r>
    <x v="0"/>
    <x v="4"/>
    <x v="6"/>
    <x v="71"/>
    <n v="17"/>
    <n v="360.1"/>
    <n v="6"/>
    <n v="0.35294117647058826"/>
    <n v="4444.83"/>
    <n v="3"/>
    <n v="2.9500000000000002E-2"/>
  </r>
  <r>
    <x v="1"/>
    <x v="4"/>
    <x v="6"/>
    <x v="22"/>
    <n v="13"/>
    <n v="364.64"/>
    <n v="4"/>
    <n v="0.30769230769230771"/>
    <n v="3704.33"/>
    <n v="2"/>
    <n v="3.7499999999999999E-2"/>
  </r>
  <r>
    <x v="2"/>
    <x v="4"/>
    <x v="6"/>
    <x v="75"/>
    <n v="14"/>
    <n v="367.56"/>
    <n v="2"/>
    <n v="0.14285714285714285"/>
    <n v="3514.07"/>
    <n v="1"/>
    <n v="4.0099999999999997E-2"/>
  </r>
  <r>
    <x v="3"/>
    <x v="4"/>
    <x v="6"/>
    <x v="9"/>
    <n v="6"/>
    <n v="76.27"/>
    <n v="4"/>
    <n v="0.66666666666666663"/>
    <n v="1597.98"/>
    <n v="1"/>
    <n v="2.81E-2"/>
  </r>
  <r>
    <x v="4"/>
    <x v="4"/>
    <x v="6"/>
    <x v="71"/>
    <n v="12"/>
    <n v="487.04"/>
    <n v="5"/>
    <n v="0.41666666666666669"/>
    <n v="1004.9"/>
    <n v="3"/>
    <n v="4.2099999999999999E-2"/>
  </r>
  <r>
    <x v="5"/>
    <x v="4"/>
    <x v="6"/>
    <x v="76"/>
    <n v="5"/>
    <n v="491.31"/>
    <n v="3"/>
    <n v="0.6"/>
    <n v="3289.06"/>
    <n v="2"/>
    <n v="1.1299999999999999E-2"/>
  </r>
  <r>
    <x v="6"/>
    <x v="4"/>
    <x v="6"/>
    <x v="40"/>
    <n v="15"/>
    <n v="282.58999999999997"/>
    <n v="2"/>
    <n v="0.13333333333333333"/>
    <n v="2296.14"/>
    <n v="1"/>
    <n v="9.5799999999999996E-2"/>
  </r>
  <r>
    <x v="7"/>
    <x v="4"/>
    <x v="6"/>
    <x v="41"/>
    <n v="9"/>
    <n v="246.06"/>
    <n v="5"/>
    <n v="0.55555555555555558"/>
    <n v="4227.22"/>
    <n v="3"/>
    <n v="3.7200000000000004E-2"/>
  </r>
  <r>
    <x v="8"/>
    <x v="4"/>
    <x v="6"/>
    <x v="14"/>
    <n v="15"/>
    <n v="347.38"/>
    <n v="10"/>
    <n v="0.66666666666666663"/>
    <n v="1101.06"/>
    <n v="2"/>
    <n v="6.0100000000000001E-2"/>
  </r>
  <r>
    <x v="9"/>
    <x v="4"/>
    <x v="6"/>
    <x v="40"/>
    <n v="16"/>
    <n v="335.59"/>
    <n v="7"/>
    <n v="0.4375"/>
    <n v="1087.4100000000001"/>
    <n v="1"/>
    <n v="3.6900000000000002E-2"/>
  </r>
  <r>
    <x v="10"/>
    <x v="4"/>
    <x v="6"/>
    <x v="53"/>
    <n v="8"/>
    <n v="208.21"/>
    <n v="4"/>
    <n v="0.5"/>
    <n v="828.73"/>
    <n v="3"/>
    <n v="7.4200000000000002E-2"/>
  </r>
  <r>
    <x v="11"/>
    <x v="4"/>
    <x v="6"/>
    <x v="77"/>
    <n v="6"/>
    <n v="553.58000000000004"/>
    <n v="3"/>
    <n v="0.5"/>
    <n v="3939.56"/>
    <n v="2"/>
    <n v="3.78E-2"/>
  </r>
  <r>
    <x v="12"/>
    <x v="4"/>
    <x v="6"/>
    <x v="55"/>
    <n v="21"/>
    <n v="604.57000000000005"/>
    <n v="2"/>
    <n v="9.5238095238095233E-2"/>
    <n v="327.82"/>
    <n v="1"/>
    <n v="3.6699999999999997E-2"/>
  </r>
  <r>
    <x v="13"/>
    <x v="4"/>
    <x v="6"/>
    <x v="8"/>
    <n v="7"/>
    <n v="199.39"/>
    <n v="1"/>
    <n v="0.14285714285714285"/>
    <n v="3767.74"/>
    <n v="3"/>
    <n v="3.85E-2"/>
  </r>
  <r>
    <x v="14"/>
    <x v="4"/>
    <x v="6"/>
    <x v="71"/>
    <n v="9"/>
    <n v="220.4"/>
    <n v="2"/>
    <n v="0.22222222222222221"/>
    <n v="692.29"/>
    <n v="2"/>
    <n v="2.8999999999999998E-2"/>
  </r>
  <r>
    <x v="15"/>
    <x v="4"/>
    <x v="6"/>
    <x v="35"/>
    <n v="5"/>
    <n v="166.85"/>
    <n v="4"/>
    <n v="0.8"/>
    <n v="1364.24"/>
    <n v="1"/>
    <n v="8.3100000000000007E-2"/>
  </r>
  <r>
    <x v="16"/>
    <x v="4"/>
    <x v="6"/>
    <x v="71"/>
    <n v="7"/>
    <n v="78.53"/>
    <n v="4"/>
    <n v="0.5714285714285714"/>
    <n v="3652.64"/>
    <n v="3"/>
    <n v="8.6999999999999994E-2"/>
  </r>
  <r>
    <x v="17"/>
    <x v="4"/>
    <x v="6"/>
    <x v="3"/>
    <n v="13"/>
    <n v="471.72"/>
    <n v="7"/>
    <n v="0.53846153846153844"/>
    <n v="3588.89"/>
    <n v="2"/>
    <n v="3.5400000000000001E-2"/>
  </r>
  <r>
    <x v="18"/>
    <x v="4"/>
    <x v="6"/>
    <x v="67"/>
    <n v="17"/>
    <n v="176.07"/>
    <n v="5"/>
    <n v="0.29411764705882354"/>
    <n v="458.18"/>
    <n v="1"/>
    <n v="9.9399999999999988E-2"/>
  </r>
  <r>
    <x v="19"/>
    <x v="4"/>
    <x v="6"/>
    <x v="54"/>
    <n v="11"/>
    <n v="486.93"/>
    <n v="0"/>
    <n v="0"/>
    <n v="1219.29"/>
    <n v="3"/>
    <n v="1E-3"/>
  </r>
  <r>
    <x v="20"/>
    <x v="4"/>
    <x v="6"/>
    <x v="30"/>
    <n v="14"/>
    <n v="283.66000000000003"/>
    <n v="2"/>
    <n v="0.14285714285714285"/>
    <n v="1494.14"/>
    <n v="2"/>
    <n v="5.7800000000000004E-2"/>
  </r>
  <r>
    <x v="21"/>
    <x v="4"/>
    <x v="6"/>
    <x v="78"/>
    <n v="6"/>
    <n v="536.04999999999995"/>
    <n v="1"/>
    <n v="0.16666666666666666"/>
    <n v="3682.29"/>
    <n v="1"/>
    <n v="3.2099999999999997E-2"/>
  </r>
  <r>
    <x v="22"/>
    <x v="4"/>
    <x v="6"/>
    <x v="13"/>
    <n v="9"/>
    <n v="171.86"/>
    <n v="7"/>
    <n v="0.77777777777777779"/>
    <n v="506.88"/>
    <n v="3"/>
    <n v="9.4100000000000003E-2"/>
  </r>
  <r>
    <x v="23"/>
    <x v="4"/>
    <x v="6"/>
    <x v="59"/>
    <n v="15"/>
    <n v="359.16"/>
    <n v="1"/>
    <n v="6.6666666666666666E-2"/>
    <n v="2949.94"/>
    <n v="2"/>
    <n v="2.3599999999999999E-2"/>
  </r>
  <r>
    <x v="24"/>
    <x v="4"/>
    <x v="6"/>
    <x v="52"/>
    <n v="9"/>
    <n v="569.97"/>
    <n v="5"/>
    <n v="0.55555555555555558"/>
    <n v="259.86"/>
    <n v="1"/>
    <n v="6.3299999999999995E-2"/>
  </r>
  <r>
    <x v="25"/>
    <x v="4"/>
    <x v="6"/>
    <x v="20"/>
    <n v="14"/>
    <n v="359.22"/>
    <n v="8"/>
    <n v="0.5714285714285714"/>
    <n v="3846.34"/>
    <n v="3"/>
    <n v="8.5900000000000004E-2"/>
  </r>
  <r>
    <x v="0"/>
    <x v="4"/>
    <x v="7"/>
    <x v="71"/>
    <n v="15"/>
    <n v="297.05"/>
    <n v="6"/>
    <n v="0.4"/>
    <n v="4043.62"/>
    <n v="2"/>
    <n v="2.7200000000000002E-2"/>
  </r>
  <r>
    <x v="1"/>
    <x v="4"/>
    <x v="7"/>
    <x v="66"/>
    <n v="13"/>
    <n v="376.76"/>
    <n v="5"/>
    <n v="0.38461538461538464"/>
    <n v="3819.73"/>
    <n v="1"/>
    <n v="4.4900000000000002E-2"/>
  </r>
  <r>
    <x v="2"/>
    <x v="4"/>
    <x v="7"/>
    <x v="75"/>
    <n v="15"/>
    <n v="379.29"/>
    <n v="2"/>
    <n v="0.13333333333333333"/>
    <n v="3409.69"/>
    <n v="1"/>
    <n v="4.41E-2"/>
  </r>
  <r>
    <x v="3"/>
    <x v="4"/>
    <x v="7"/>
    <x v="9"/>
    <n v="8"/>
    <n v="82.91"/>
    <n v="3"/>
    <n v="0.375"/>
    <n v="1387.86"/>
    <n v="3"/>
    <n v="3.0099999999999998E-2"/>
  </r>
  <r>
    <x v="4"/>
    <x v="4"/>
    <x v="7"/>
    <x v="55"/>
    <n v="14"/>
    <n v="437.47"/>
    <n v="4"/>
    <n v="0.2857142857142857"/>
    <n v="958.02"/>
    <n v="2"/>
    <n v="3.9100000000000003E-2"/>
  </r>
  <r>
    <x v="5"/>
    <x v="4"/>
    <x v="7"/>
    <x v="47"/>
    <n v="7"/>
    <n v="554.20000000000005"/>
    <n v="2"/>
    <n v="0.2857142857142857"/>
    <n v="3620.9"/>
    <n v="1"/>
    <n v="1.23E-2"/>
  </r>
  <r>
    <x v="6"/>
    <x v="4"/>
    <x v="7"/>
    <x v="54"/>
    <n v="21"/>
    <n v="293.93"/>
    <n v="2"/>
    <n v="9.5238095238095233E-2"/>
    <n v="2531.4"/>
    <n v="3"/>
    <n v="0.1012"/>
  </r>
  <r>
    <x v="7"/>
    <x v="4"/>
    <x v="7"/>
    <x v="47"/>
    <n v="9"/>
    <n v="255.17"/>
    <n v="6"/>
    <n v="0.66666666666666663"/>
    <n v="4136.6899999999996"/>
    <n v="2"/>
    <n v="3.8199999999999998E-2"/>
  </r>
  <r>
    <x v="8"/>
    <x v="4"/>
    <x v="7"/>
    <x v="58"/>
    <n v="17"/>
    <n v="391.73"/>
    <n v="7"/>
    <n v="0.41176470588235292"/>
    <n v="1166.55"/>
    <n v="1"/>
    <n v="6.1200000000000004E-2"/>
  </r>
  <r>
    <x v="9"/>
    <x v="4"/>
    <x v="7"/>
    <x v="26"/>
    <n v="13"/>
    <n v="324.26"/>
    <n v="7"/>
    <n v="0.53846153846153844"/>
    <n v="1044.8599999999999"/>
    <n v="3"/>
    <n v="3.5200000000000002E-2"/>
  </r>
  <r>
    <x v="10"/>
    <x v="4"/>
    <x v="7"/>
    <x v="24"/>
    <n v="9"/>
    <n v="211.28"/>
    <n v="8"/>
    <n v="0.88888888888888884"/>
    <n v="772.77"/>
    <n v="2"/>
    <n v="8.0600000000000005E-2"/>
  </r>
  <r>
    <x v="11"/>
    <x v="4"/>
    <x v="7"/>
    <x v="32"/>
    <n v="6"/>
    <n v="549.26"/>
    <n v="2"/>
    <n v="0.33333333333333331"/>
    <n v="3868.36"/>
    <n v="1"/>
    <n v="4.2800000000000005E-2"/>
  </r>
  <r>
    <x v="12"/>
    <x v="4"/>
    <x v="7"/>
    <x v="35"/>
    <n v="15"/>
    <n v="601.05999999999995"/>
    <n v="3"/>
    <n v="0.2"/>
    <n v="350.62"/>
    <n v="3"/>
    <n v="3.6600000000000001E-2"/>
  </r>
  <r>
    <x v="13"/>
    <x v="4"/>
    <x v="7"/>
    <x v="31"/>
    <n v="6"/>
    <n v="192.19"/>
    <n v="1"/>
    <n v="0.16666666666666666"/>
    <n v="3963.32"/>
    <n v="2"/>
    <n v="3.9800000000000002E-2"/>
  </r>
  <r>
    <x v="14"/>
    <x v="4"/>
    <x v="7"/>
    <x v="16"/>
    <n v="8"/>
    <n v="191.76"/>
    <n v="3"/>
    <n v="0.375"/>
    <n v="675.97"/>
    <n v="3"/>
    <n v="3.0200000000000001E-2"/>
  </r>
  <r>
    <x v="15"/>
    <x v="4"/>
    <x v="7"/>
    <x v="61"/>
    <n v="4"/>
    <n v="169.75"/>
    <n v="3"/>
    <n v="0.75"/>
    <n v="1255.83"/>
    <n v="2"/>
    <n v="7.7600000000000002E-2"/>
  </r>
  <r>
    <x v="16"/>
    <x v="4"/>
    <x v="7"/>
    <x v="71"/>
    <n v="6"/>
    <n v="87.5"/>
    <n v="3"/>
    <n v="0.5"/>
    <n v="3666.64"/>
    <n v="1"/>
    <n v="9.1300000000000006E-2"/>
  </r>
  <r>
    <x v="17"/>
    <x v="4"/>
    <x v="7"/>
    <x v="24"/>
    <n v="14"/>
    <n v="477.3"/>
    <n v="6"/>
    <n v="0.42857142857142855"/>
    <n v="3790.05"/>
    <n v="3"/>
    <n v="3.32E-2"/>
  </r>
  <r>
    <x v="18"/>
    <x v="4"/>
    <x v="7"/>
    <x v="64"/>
    <n v="17"/>
    <n v="187.72"/>
    <n v="5"/>
    <n v="0.29411764705882354"/>
    <n v="443.22"/>
    <n v="2"/>
    <n v="0.1016"/>
  </r>
  <r>
    <x v="19"/>
    <x v="4"/>
    <x v="7"/>
    <x v="79"/>
    <n v="13"/>
    <n v="504.59"/>
    <n v="0"/>
    <n v="0"/>
    <n v="1265.47"/>
    <n v="1"/>
    <n v="1E-3"/>
  </r>
  <r>
    <x v="20"/>
    <x v="4"/>
    <x v="7"/>
    <x v="9"/>
    <n v="12"/>
    <n v="262.26"/>
    <n v="1"/>
    <n v="8.3333333333333329E-2"/>
    <n v="1573.7"/>
    <n v="3"/>
    <n v="5.1299999999999998E-2"/>
  </r>
  <r>
    <x v="21"/>
    <x v="4"/>
    <x v="7"/>
    <x v="80"/>
    <n v="6"/>
    <n v="572.16"/>
    <n v="2"/>
    <n v="0.33333333333333331"/>
    <n v="3398.37"/>
    <n v="2"/>
    <n v="2.87E-2"/>
  </r>
  <r>
    <x v="22"/>
    <x v="4"/>
    <x v="7"/>
    <x v="71"/>
    <n v="9"/>
    <n v="172.96"/>
    <n v="6"/>
    <n v="0.66666666666666663"/>
    <n v="464.49"/>
    <n v="1"/>
    <n v="8.2699999999999996E-2"/>
  </r>
  <r>
    <x v="23"/>
    <x v="4"/>
    <x v="7"/>
    <x v="81"/>
    <n v="17"/>
    <n v="422.48"/>
    <n v="0"/>
    <n v="0"/>
    <n v="2681.51"/>
    <n v="3"/>
    <n v="2.5000000000000001E-2"/>
  </r>
  <r>
    <x v="24"/>
    <x v="4"/>
    <x v="7"/>
    <x v="8"/>
    <n v="10"/>
    <n v="565.11"/>
    <n v="5"/>
    <n v="0.5"/>
    <n v="222.62"/>
    <n v="2"/>
    <n v="7.1800000000000003E-2"/>
  </r>
  <r>
    <x v="25"/>
    <x v="4"/>
    <x v="7"/>
    <x v="72"/>
    <n v="17"/>
    <n v="355.83"/>
    <n v="6"/>
    <n v="0.35294117647058826"/>
    <n v="4155.8599999999997"/>
    <n v="1"/>
    <n v="8.8000000000000009E-2"/>
  </r>
  <r>
    <x v="0"/>
    <x v="4"/>
    <x v="8"/>
    <x v="82"/>
    <n v="15"/>
    <n v="349.71"/>
    <n v="8"/>
    <n v="0.53333333333333333"/>
    <n v="4017.54"/>
    <n v="1"/>
    <n v="2.92E-2"/>
  </r>
  <r>
    <x v="1"/>
    <x v="4"/>
    <x v="8"/>
    <x v="78"/>
    <n v="9"/>
    <n v="358.67"/>
    <n v="5"/>
    <n v="0.55555555555555558"/>
    <n v="3658.64"/>
    <n v="3"/>
    <n v="3.7499999999999999E-2"/>
  </r>
  <r>
    <x v="2"/>
    <x v="4"/>
    <x v="8"/>
    <x v="36"/>
    <n v="18"/>
    <n v="403.41"/>
    <n v="3"/>
    <n v="0.16666666666666666"/>
    <n v="3767.63"/>
    <n v="2"/>
    <n v="4.24E-2"/>
  </r>
  <r>
    <x v="3"/>
    <x v="4"/>
    <x v="8"/>
    <x v="3"/>
    <n v="7"/>
    <n v="79.62"/>
    <n v="4"/>
    <n v="0.5714285714285714"/>
    <n v="1650.69"/>
    <n v="1"/>
    <n v="3.0600000000000002E-2"/>
  </r>
  <r>
    <x v="4"/>
    <x v="4"/>
    <x v="8"/>
    <x v="40"/>
    <n v="11"/>
    <n v="487.47"/>
    <n v="4"/>
    <n v="0.36363636363636365"/>
    <n v="990.89"/>
    <n v="3"/>
    <n v="4.3299999999999998E-2"/>
  </r>
  <r>
    <x v="5"/>
    <x v="4"/>
    <x v="8"/>
    <x v="33"/>
    <n v="7"/>
    <n v="549.77"/>
    <n v="2"/>
    <n v="0.2857142857142857"/>
    <n v="3916.58"/>
    <n v="2"/>
    <n v="1.2E-2"/>
  </r>
  <r>
    <x v="6"/>
    <x v="4"/>
    <x v="8"/>
    <x v="0"/>
    <n v="18"/>
    <n v="306.89999999999998"/>
    <n v="3"/>
    <n v="0.16666666666666666"/>
    <n v="2254.16"/>
    <n v="1"/>
    <n v="9.64E-2"/>
  </r>
  <r>
    <x v="7"/>
    <x v="4"/>
    <x v="8"/>
    <x v="36"/>
    <n v="7"/>
    <n v="262.27999999999997"/>
    <n v="7"/>
    <n v="1"/>
    <n v="3929.11"/>
    <n v="3"/>
    <n v="4.4299999999999999E-2"/>
  </r>
  <r>
    <x v="8"/>
    <x v="4"/>
    <x v="8"/>
    <x v="58"/>
    <n v="21"/>
    <n v="359.51"/>
    <n v="9"/>
    <n v="0.42857142857142855"/>
    <n v="1187.3699999999999"/>
    <n v="2"/>
    <n v="5.33E-2"/>
  </r>
  <r>
    <x v="9"/>
    <x v="4"/>
    <x v="8"/>
    <x v="54"/>
    <n v="18"/>
    <n v="339.1"/>
    <n v="8"/>
    <n v="0.44444444444444442"/>
    <n v="924.79"/>
    <n v="1"/>
    <n v="3.6000000000000004E-2"/>
  </r>
  <r>
    <x v="10"/>
    <x v="4"/>
    <x v="8"/>
    <x v="24"/>
    <n v="7"/>
    <n v="182.47"/>
    <n v="7"/>
    <n v="1"/>
    <n v="779.86"/>
    <n v="3"/>
    <n v="7.2700000000000001E-2"/>
  </r>
  <r>
    <x v="11"/>
    <x v="4"/>
    <x v="8"/>
    <x v="20"/>
    <n v="6"/>
    <n v="553.89"/>
    <n v="6"/>
    <n v="1"/>
    <n v="4013.79"/>
    <n v="2"/>
    <n v="4.3200000000000002E-2"/>
  </r>
  <r>
    <x v="12"/>
    <x v="4"/>
    <x v="8"/>
    <x v="83"/>
    <n v="21"/>
    <n v="633.13"/>
    <n v="2"/>
    <n v="9.5238095238095233E-2"/>
    <n v="336.22"/>
    <n v="1"/>
    <n v="3.4500000000000003E-2"/>
  </r>
  <r>
    <x v="13"/>
    <x v="4"/>
    <x v="8"/>
    <x v="29"/>
    <n v="8"/>
    <n v="215.09"/>
    <n v="2"/>
    <n v="0.25"/>
    <n v="3424.83"/>
    <n v="3"/>
    <n v="4.07E-2"/>
  </r>
  <r>
    <x v="14"/>
    <x v="4"/>
    <x v="8"/>
    <x v="71"/>
    <n v="8"/>
    <n v="199.19"/>
    <n v="2"/>
    <n v="0.25"/>
    <n v="635.24"/>
    <n v="2"/>
    <n v="2.9500000000000002E-2"/>
  </r>
  <r>
    <x v="15"/>
    <x v="4"/>
    <x v="8"/>
    <x v="4"/>
    <n v="5"/>
    <n v="153.5"/>
    <n v="2"/>
    <n v="0.4"/>
    <n v="1307.47"/>
    <n v="1"/>
    <n v="7.3300000000000004E-2"/>
  </r>
  <r>
    <x v="16"/>
    <x v="4"/>
    <x v="8"/>
    <x v="25"/>
    <n v="5"/>
    <n v="77.12"/>
    <n v="2"/>
    <n v="0.4"/>
    <n v="3483.91"/>
    <n v="3"/>
    <n v="9.9000000000000005E-2"/>
  </r>
  <r>
    <x v="17"/>
    <x v="4"/>
    <x v="8"/>
    <x v="34"/>
    <n v="17"/>
    <n v="533.41999999999996"/>
    <n v="7"/>
    <n v="0.41176470588235292"/>
    <n v="3895.32"/>
    <n v="2"/>
    <n v="3.4000000000000002E-2"/>
  </r>
  <r>
    <x v="18"/>
    <x v="4"/>
    <x v="8"/>
    <x v="84"/>
    <n v="17"/>
    <n v="160.88999999999999"/>
    <n v="4"/>
    <n v="0.23529411764705882"/>
    <n v="418.33"/>
    <n v="1"/>
    <n v="8.8100000000000012E-2"/>
  </r>
  <r>
    <x v="19"/>
    <x v="4"/>
    <x v="8"/>
    <x v="55"/>
    <n v="11"/>
    <n v="459.86"/>
    <n v="0"/>
    <n v="0"/>
    <n v="1269.5999999999999"/>
    <n v="3"/>
    <n v="1E-3"/>
  </r>
  <r>
    <x v="20"/>
    <x v="4"/>
    <x v="8"/>
    <x v="9"/>
    <n v="13"/>
    <n v="290.14"/>
    <n v="2"/>
    <n v="0.15384615384615385"/>
    <n v="1444.65"/>
    <n v="2"/>
    <n v="5.4699999999999999E-2"/>
  </r>
  <r>
    <x v="21"/>
    <x v="4"/>
    <x v="8"/>
    <x v="69"/>
    <n v="7"/>
    <n v="587.83000000000004"/>
    <n v="1"/>
    <n v="0.14285714285714285"/>
    <n v="3601.93"/>
    <n v="1"/>
    <n v="3.2199999999999999E-2"/>
  </r>
  <r>
    <x v="22"/>
    <x v="4"/>
    <x v="8"/>
    <x v="67"/>
    <n v="8"/>
    <n v="177.88"/>
    <n v="7"/>
    <n v="0.875"/>
    <n v="507.1"/>
    <n v="3"/>
    <n v="9.5199999999999993E-2"/>
  </r>
  <r>
    <x v="23"/>
    <x v="4"/>
    <x v="8"/>
    <x v="85"/>
    <n v="12"/>
    <n v="406.95"/>
    <n v="0"/>
    <n v="0"/>
    <n v="2978.09"/>
    <n v="2"/>
    <n v="2.3700000000000002E-2"/>
  </r>
  <r>
    <x v="24"/>
    <x v="4"/>
    <x v="8"/>
    <x v="43"/>
    <n v="13"/>
    <n v="517.1"/>
    <n v="4"/>
    <n v="0.30769230769230771"/>
    <n v="250.08"/>
    <n v="1"/>
    <n v="6.5299999999999997E-2"/>
  </r>
  <r>
    <x v="25"/>
    <x v="4"/>
    <x v="8"/>
    <x v="31"/>
    <n v="18"/>
    <n v="348.92"/>
    <n v="7"/>
    <n v="0.3888888888888889"/>
    <n v="4381.3900000000003"/>
    <n v="1"/>
    <n v="8.8599999999999998E-2"/>
  </r>
  <r>
    <x v="0"/>
    <x v="4"/>
    <x v="9"/>
    <x v="0"/>
    <n v="16"/>
    <n v="308.51"/>
    <n v="7"/>
    <n v="0.4375"/>
    <n v="4267.5"/>
    <n v="3"/>
    <n v="2.9399999999999999E-2"/>
  </r>
  <r>
    <x v="1"/>
    <x v="4"/>
    <x v="9"/>
    <x v="55"/>
    <n v="10"/>
    <n v="362.58"/>
    <n v="5"/>
    <n v="0.5"/>
    <n v="3679.65"/>
    <n v="2"/>
    <n v="3.8599999999999995E-2"/>
  </r>
  <r>
    <x v="2"/>
    <x v="4"/>
    <x v="9"/>
    <x v="73"/>
    <n v="13"/>
    <n v="368.06"/>
    <n v="2"/>
    <n v="0.15384615384615385"/>
    <n v="3626.22"/>
    <n v="1"/>
    <n v="4.1399999999999999E-2"/>
  </r>
  <r>
    <x v="3"/>
    <x v="4"/>
    <x v="9"/>
    <x v="24"/>
    <n v="7"/>
    <n v="74.680000000000007"/>
    <n v="4"/>
    <n v="0.5714285714285714"/>
    <n v="1543.72"/>
    <n v="3"/>
    <n v="2.75E-2"/>
  </r>
  <r>
    <x v="4"/>
    <x v="4"/>
    <x v="9"/>
    <x v="0"/>
    <n v="15"/>
    <n v="460.2"/>
    <n v="4"/>
    <n v="0.26666666666666666"/>
    <n v="980.1"/>
    <n v="2"/>
    <n v="3.7900000000000003E-2"/>
  </r>
  <r>
    <x v="5"/>
    <x v="4"/>
    <x v="9"/>
    <x v="22"/>
    <n v="8"/>
    <n v="540.79999999999995"/>
    <n v="3"/>
    <n v="0.375"/>
    <n v="3928.71"/>
    <n v="1"/>
    <n v="1.09E-2"/>
  </r>
  <r>
    <x v="6"/>
    <x v="4"/>
    <x v="9"/>
    <x v="76"/>
    <n v="21"/>
    <n v="319.62"/>
    <n v="3"/>
    <n v="0.14285714285714285"/>
    <n v="2486.2199999999998"/>
    <n v="3"/>
    <n v="0.1036"/>
  </r>
  <r>
    <x v="7"/>
    <x v="4"/>
    <x v="9"/>
    <x v="82"/>
    <n v="7"/>
    <n v="248.37"/>
    <n v="7"/>
    <n v="1"/>
    <n v="3946.23"/>
    <n v="2"/>
    <n v="4.2699999999999995E-2"/>
  </r>
  <r>
    <x v="8"/>
    <x v="4"/>
    <x v="9"/>
    <x v="77"/>
    <n v="16"/>
    <n v="393.04"/>
    <n v="7"/>
    <n v="0.4375"/>
    <n v="1286.18"/>
    <n v="1"/>
    <n v="5.6399999999999999E-2"/>
  </r>
  <r>
    <x v="9"/>
    <x v="4"/>
    <x v="9"/>
    <x v="71"/>
    <n v="16"/>
    <n v="323.56"/>
    <n v="9"/>
    <n v="0.5625"/>
    <n v="957.05"/>
    <n v="3"/>
    <n v="3.1099999999999999E-2"/>
  </r>
  <r>
    <x v="10"/>
    <x v="4"/>
    <x v="9"/>
    <x v="53"/>
    <n v="7"/>
    <n v="205.3"/>
    <n v="4"/>
    <n v="0.5714285714285714"/>
    <n v="762.2"/>
    <n v="2"/>
    <n v="7.2300000000000003E-2"/>
  </r>
  <r>
    <x v="11"/>
    <x v="4"/>
    <x v="9"/>
    <x v="31"/>
    <n v="6"/>
    <n v="544.78"/>
    <n v="5"/>
    <n v="0.83333333333333337"/>
    <n v="3420.99"/>
    <n v="3"/>
    <n v="4.0500000000000001E-2"/>
  </r>
  <r>
    <x v="12"/>
    <x v="4"/>
    <x v="9"/>
    <x v="16"/>
    <n v="17"/>
    <n v="557.29999999999995"/>
    <n v="3"/>
    <n v="0.17647058823529413"/>
    <n v="376.66"/>
    <n v="2"/>
    <n v="3.4700000000000002E-2"/>
  </r>
  <r>
    <x v="13"/>
    <x v="4"/>
    <x v="9"/>
    <x v="86"/>
    <n v="6"/>
    <n v="202.37"/>
    <n v="1"/>
    <n v="0.16666666666666666"/>
    <n v="3781.81"/>
    <n v="1"/>
    <n v="4.3099999999999999E-2"/>
  </r>
  <r>
    <x v="14"/>
    <x v="4"/>
    <x v="9"/>
    <x v="65"/>
    <n v="7"/>
    <n v="204.14"/>
    <n v="3"/>
    <n v="0.42857142857142855"/>
    <n v="636.65"/>
    <n v="3"/>
    <n v="2.9500000000000002E-2"/>
  </r>
  <r>
    <x v="15"/>
    <x v="4"/>
    <x v="9"/>
    <x v="80"/>
    <n v="5"/>
    <n v="163.38"/>
    <n v="1"/>
    <n v="0.2"/>
    <n v="1148.1400000000001"/>
    <n v="2"/>
    <n v="7.8799999999999995E-2"/>
  </r>
  <r>
    <x v="16"/>
    <x v="4"/>
    <x v="9"/>
    <x v="87"/>
    <n v="5"/>
    <n v="86.37"/>
    <n v="5"/>
    <n v="1"/>
    <n v="3851.19"/>
    <n v="1"/>
    <n v="8.3800000000000013E-2"/>
  </r>
  <r>
    <x v="17"/>
    <x v="4"/>
    <x v="9"/>
    <x v="34"/>
    <n v="14"/>
    <n v="537.36"/>
    <n v="7"/>
    <n v="0.5"/>
    <n v="3767.78"/>
    <n v="3"/>
    <n v="3.44E-2"/>
  </r>
  <r>
    <x v="18"/>
    <x v="4"/>
    <x v="9"/>
    <x v="61"/>
    <n v="20"/>
    <n v="181.9"/>
    <n v="4"/>
    <n v="0.2"/>
    <n v="400.92"/>
    <n v="2"/>
    <n v="0.10009999999999999"/>
  </r>
  <r>
    <x v="19"/>
    <x v="4"/>
    <x v="9"/>
    <x v="47"/>
    <n v="15"/>
    <n v="514.38"/>
    <n v="0"/>
    <n v="0"/>
    <n v="1220.5899999999999"/>
    <n v="1"/>
    <n v="1E-3"/>
  </r>
  <r>
    <x v="20"/>
    <x v="4"/>
    <x v="9"/>
    <x v="34"/>
    <n v="15"/>
    <n v="309.75"/>
    <n v="2"/>
    <n v="0.13333333333333333"/>
    <n v="1649.09"/>
    <n v="3"/>
    <n v="5.0999999999999997E-2"/>
  </r>
  <r>
    <x v="21"/>
    <x v="4"/>
    <x v="9"/>
    <x v="49"/>
    <n v="6"/>
    <n v="515.27"/>
    <n v="2"/>
    <n v="0.33333333333333331"/>
    <n v="3183.87"/>
    <n v="2"/>
    <n v="3.04E-2"/>
  </r>
  <r>
    <x v="22"/>
    <x v="4"/>
    <x v="9"/>
    <x v="19"/>
    <n v="10"/>
    <n v="194.21"/>
    <n v="7"/>
    <n v="0.7"/>
    <n v="508.84"/>
    <n v="1"/>
    <n v="9.3900000000000011E-2"/>
  </r>
  <r>
    <x v="23"/>
    <x v="4"/>
    <x v="9"/>
    <x v="64"/>
    <n v="15"/>
    <n v="400.65"/>
    <n v="0"/>
    <n v="0"/>
    <n v="2890.62"/>
    <n v="1"/>
    <n v="2.4700000000000003E-2"/>
  </r>
  <r>
    <x v="24"/>
    <x v="4"/>
    <x v="9"/>
    <x v="10"/>
    <n v="10"/>
    <n v="535.44000000000005"/>
    <n v="4"/>
    <n v="0.4"/>
    <n v="241.26"/>
    <n v="3"/>
    <n v="6.3E-2"/>
  </r>
  <r>
    <x v="25"/>
    <x v="4"/>
    <x v="9"/>
    <x v="8"/>
    <n v="12"/>
    <n v="356.4"/>
    <n v="8"/>
    <n v="0.66666666666666663"/>
    <n v="4111.76"/>
    <n v="2"/>
    <n v="8.4700000000000011E-2"/>
  </r>
  <r>
    <x v="0"/>
    <x v="4"/>
    <x v="10"/>
    <x v="11"/>
    <n v="12"/>
    <n v="352.6"/>
    <n v="6"/>
    <n v="0.5"/>
    <n v="4402.41"/>
    <n v="1"/>
    <n v="2.8999999999999998E-2"/>
  </r>
  <r>
    <x v="1"/>
    <x v="4"/>
    <x v="10"/>
    <x v="54"/>
    <n v="14"/>
    <n v="351.42"/>
    <n v="4"/>
    <n v="0.2857142857142857"/>
    <n v="3917.99"/>
    <n v="3"/>
    <n v="4.2999999999999997E-2"/>
  </r>
  <r>
    <x v="2"/>
    <x v="4"/>
    <x v="10"/>
    <x v="75"/>
    <n v="17"/>
    <n v="404.22"/>
    <n v="2"/>
    <n v="0.11764705882352941"/>
    <n v="3669.4"/>
    <n v="2"/>
    <n v="4.4500000000000005E-2"/>
  </r>
  <r>
    <x v="3"/>
    <x v="4"/>
    <x v="10"/>
    <x v="24"/>
    <n v="6"/>
    <n v="80.02"/>
    <n v="3"/>
    <n v="0.5"/>
    <n v="1476.69"/>
    <n v="1"/>
    <n v="2.9300000000000003E-2"/>
  </r>
  <r>
    <x v="4"/>
    <x v="4"/>
    <x v="10"/>
    <x v="40"/>
    <n v="16"/>
    <n v="502.41"/>
    <n v="5"/>
    <n v="0.3125"/>
    <n v="1093.75"/>
    <n v="3"/>
    <n v="3.8399999999999997E-2"/>
  </r>
  <r>
    <x v="5"/>
    <x v="4"/>
    <x v="10"/>
    <x v="23"/>
    <n v="6"/>
    <n v="492.23"/>
    <n v="2"/>
    <n v="0.33333333333333331"/>
    <n v="3775.84"/>
    <n v="2"/>
    <n v="1.1000000000000001E-2"/>
  </r>
  <r>
    <x v="6"/>
    <x v="4"/>
    <x v="10"/>
    <x v="0"/>
    <n v="17"/>
    <n v="284.91000000000003"/>
    <n v="3"/>
    <n v="0.17647058823529413"/>
    <n v="2481.64"/>
    <n v="1"/>
    <n v="9.0500000000000011E-2"/>
  </r>
  <r>
    <x v="7"/>
    <x v="4"/>
    <x v="10"/>
    <x v="41"/>
    <n v="9"/>
    <n v="237.95"/>
    <n v="5"/>
    <n v="0.55555555555555558"/>
    <n v="3982.36"/>
    <n v="3"/>
    <n v="4.4299999999999999E-2"/>
  </r>
  <r>
    <x v="8"/>
    <x v="4"/>
    <x v="10"/>
    <x v="32"/>
    <n v="21"/>
    <n v="372.34"/>
    <n v="7"/>
    <n v="0.33333333333333331"/>
    <n v="1172.04"/>
    <n v="2"/>
    <n v="5.4800000000000001E-2"/>
  </r>
  <r>
    <x v="9"/>
    <x v="4"/>
    <x v="10"/>
    <x v="0"/>
    <n v="13"/>
    <n v="324.77999999999997"/>
    <n v="7"/>
    <n v="0.53846153846153844"/>
    <n v="995.6"/>
    <n v="1"/>
    <n v="3.0699999999999998E-2"/>
  </r>
  <r>
    <x v="10"/>
    <x v="4"/>
    <x v="10"/>
    <x v="88"/>
    <n v="7"/>
    <n v="190.12"/>
    <n v="4"/>
    <n v="0.5714285714285714"/>
    <n v="788.65"/>
    <n v="3"/>
    <n v="7.2000000000000008E-2"/>
  </r>
  <r>
    <x v="11"/>
    <x v="4"/>
    <x v="10"/>
    <x v="77"/>
    <n v="7"/>
    <n v="563.41999999999996"/>
    <n v="6"/>
    <n v="0.8571428571428571"/>
    <n v="3543.71"/>
    <n v="2"/>
    <n v="4.3799999999999999E-2"/>
  </r>
  <r>
    <x v="12"/>
    <x v="4"/>
    <x v="10"/>
    <x v="5"/>
    <n v="21"/>
    <n v="633.37"/>
    <n v="2"/>
    <n v="9.5238095238095233E-2"/>
    <n v="358.29"/>
    <n v="1"/>
    <n v="3.27E-2"/>
  </r>
  <r>
    <x v="13"/>
    <x v="4"/>
    <x v="10"/>
    <x v="32"/>
    <n v="6"/>
    <n v="209.84"/>
    <n v="1"/>
    <n v="0.16666666666666666"/>
    <n v="3534.1"/>
    <n v="3"/>
    <n v="4.2000000000000003E-2"/>
  </r>
  <r>
    <x v="14"/>
    <x v="4"/>
    <x v="10"/>
    <x v="26"/>
    <n v="9"/>
    <n v="220.46"/>
    <n v="3"/>
    <n v="0.33333333333333331"/>
    <n v="707.75"/>
    <n v="2"/>
    <n v="2.76E-2"/>
  </r>
  <r>
    <x v="15"/>
    <x v="4"/>
    <x v="10"/>
    <x v="60"/>
    <n v="6"/>
    <n v="153.34"/>
    <n v="3"/>
    <n v="0.5"/>
    <n v="1248.54"/>
    <n v="1"/>
    <n v="7.9000000000000001E-2"/>
  </r>
  <r>
    <x v="16"/>
    <x v="4"/>
    <x v="10"/>
    <x v="4"/>
    <n v="7"/>
    <n v="79.62"/>
    <n v="7"/>
    <n v="1"/>
    <n v="3892.76"/>
    <n v="3"/>
    <n v="9.74E-2"/>
  </r>
  <r>
    <x v="17"/>
    <x v="4"/>
    <x v="10"/>
    <x v="58"/>
    <n v="17"/>
    <n v="504.54"/>
    <n v="8"/>
    <n v="0.47058823529411764"/>
    <n v="3359.77"/>
    <n v="2"/>
    <n v="3.2000000000000001E-2"/>
  </r>
  <r>
    <x v="18"/>
    <x v="4"/>
    <x v="10"/>
    <x v="18"/>
    <n v="16"/>
    <n v="161.69"/>
    <n v="5"/>
    <n v="0.3125"/>
    <n v="392.05"/>
    <n v="1"/>
    <n v="9.5700000000000007E-2"/>
  </r>
  <r>
    <x v="19"/>
    <x v="4"/>
    <x v="10"/>
    <x v="55"/>
    <n v="12"/>
    <n v="474.28"/>
    <n v="1"/>
    <n v="8.3333333333333329E-2"/>
    <n v="1097.5999999999999"/>
    <n v="3"/>
    <n v="1E-3"/>
  </r>
  <r>
    <x v="20"/>
    <x v="4"/>
    <x v="10"/>
    <x v="9"/>
    <n v="15"/>
    <n v="268.94"/>
    <n v="1"/>
    <n v="6.6666666666666666E-2"/>
    <n v="1469.71"/>
    <n v="2"/>
    <n v="5.0900000000000001E-2"/>
  </r>
  <r>
    <x v="21"/>
    <x v="4"/>
    <x v="10"/>
    <x v="83"/>
    <n v="5"/>
    <n v="601.28"/>
    <n v="2"/>
    <n v="0.4"/>
    <n v="3491.19"/>
    <n v="1"/>
    <n v="2.9700000000000001E-2"/>
  </r>
  <r>
    <x v="22"/>
    <x v="4"/>
    <x v="10"/>
    <x v="16"/>
    <n v="8"/>
    <n v="182.48"/>
    <n v="8"/>
    <n v="1"/>
    <n v="548.46"/>
    <n v="1"/>
    <n v="8.8200000000000001E-2"/>
  </r>
  <r>
    <x v="23"/>
    <x v="4"/>
    <x v="10"/>
    <x v="68"/>
    <n v="14"/>
    <n v="368.16"/>
    <n v="0"/>
    <n v="0"/>
    <n v="3020.19"/>
    <n v="3"/>
    <n v="2.5099999999999997E-2"/>
  </r>
  <r>
    <x v="24"/>
    <x v="4"/>
    <x v="10"/>
    <x v="50"/>
    <n v="12"/>
    <n v="565.51"/>
    <n v="4"/>
    <n v="0.33333333333333331"/>
    <n v="231.16"/>
    <n v="2"/>
    <n v="6.2699999999999992E-2"/>
  </r>
  <r>
    <x v="25"/>
    <x v="4"/>
    <x v="10"/>
    <x v="52"/>
    <n v="13"/>
    <n v="370.44"/>
    <n v="9"/>
    <n v="0.69230769230769229"/>
    <n v="4484.96"/>
    <n v="1"/>
    <n v="8.5199999999999998E-2"/>
  </r>
  <r>
    <x v="0"/>
    <x v="4"/>
    <x v="11"/>
    <x v="45"/>
    <n v="13"/>
    <n v="356.61"/>
    <n v="7"/>
    <n v="0.53846153846153844"/>
    <n v="4099.6400000000003"/>
    <n v="3"/>
    <n v="2.9600000000000001E-2"/>
  </r>
  <r>
    <x v="1"/>
    <x v="4"/>
    <x v="11"/>
    <x v="79"/>
    <n v="13"/>
    <n v="369.46"/>
    <n v="4"/>
    <n v="0.30769230769230771"/>
    <n v="3996.04"/>
    <n v="2"/>
    <n v="3.7499999999999999E-2"/>
  </r>
  <r>
    <x v="2"/>
    <x v="4"/>
    <x v="11"/>
    <x v="82"/>
    <n v="14"/>
    <n v="419.93"/>
    <n v="2"/>
    <n v="0.14285714285714285"/>
    <n v="3543.6"/>
    <n v="1"/>
    <n v="4.6300000000000001E-2"/>
  </r>
  <r>
    <x v="3"/>
    <x v="4"/>
    <x v="11"/>
    <x v="30"/>
    <n v="5"/>
    <n v="71.41"/>
    <n v="3"/>
    <n v="0.6"/>
    <n v="1527.27"/>
    <n v="3"/>
    <n v="2.7000000000000003E-2"/>
  </r>
  <r>
    <x v="4"/>
    <x v="4"/>
    <x v="11"/>
    <x v="89"/>
    <n v="14"/>
    <n v="503.93"/>
    <n v="5"/>
    <n v="0.35714285714285715"/>
    <n v="1116.6099999999999"/>
    <n v="2"/>
    <n v="3.7000000000000005E-2"/>
  </r>
  <r>
    <x v="5"/>
    <x v="4"/>
    <x v="11"/>
    <x v="76"/>
    <n v="6"/>
    <n v="488.97"/>
    <n v="3"/>
    <n v="0.5"/>
    <n v="3767.09"/>
    <n v="1"/>
    <n v="1.0800000000000001E-2"/>
  </r>
  <r>
    <x v="6"/>
    <x v="4"/>
    <x v="11"/>
    <x v="46"/>
    <n v="19"/>
    <n v="301.2"/>
    <n v="2"/>
    <n v="0.10526315789473684"/>
    <n v="2608.4699999999998"/>
    <n v="3"/>
    <n v="0.1032"/>
  </r>
  <r>
    <x v="7"/>
    <x v="4"/>
    <x v="11"/>
    <x v="41"/>
    <n v="6"/>
    <n v="219.19"/>
    <n v="4"/>
    <n v="0.66666666666666663"/>
    <n v="3836.95"/>
    <n v="2"/>
    <n v="3.8699999999999998E-2"/>
  </r>
  <r>
    <x v="8"/>
    <x v="4"/>
    <x v="11"/>
    <x v="50"/>
    <n v="19"/>
    <n v="352.06"/>
    <n v="9"/>
    <n v="0.47368421052631576"/>
    <n v="1107.51"/>
    <n v="3"/>
    <n v="5.5E-2"/>
  </r>
  <r>
    <x v="9"/>
    <x v="4"/>
    <x v="11"/>
    <x v="33"/>
    <n v="16"/>
    <n v="337.7"/>
    <n v="9"/>
    <n v="0.5625"/>
    <n v="947.47"/>
    <n v="2"/>
    <n v="3.56E-2"/>
  </r>
  <r>
    <x v="10"/>
    <x v="4"/>
    <x v="11"/>
    <x v="9"/>
    <n v="6"/>
    <n v="212.39"/>
    <n v="3"/>
    <n v="0.5"/>
    <n v="730.81"/>
    <n v="1"/>
    <n v="8.6699999999999999E-2"/>
  </r>
  <r>
    <x v="11"/>
    <x v="4"/>
    <x v="11"/>
    <x v="72"/>
    <n v="7"/>
    <n v="486.93"/>
    <n v="7"/>
    <n v="1"/>
    <n v="3643.63"/>
    <n v="3"/>
    <n v="4.0199999999999993E-2"/>
  </r>
  <r>
    <x v="12"/>
    <x v="4"/>
    <x v="11"/>
    <x v="40"/>
    <n v="16"/>
    <n v="539.26"/>
    <n v="3"/>
    <n v="0.1875"/>
    <n v="379.83"/>
    <n v="2"/>
    <n v="3.7999999999999999E-2"/>
  </r>
  <r>
    <x v="13"/>
    <x v="4"/>
    <x v="11"/>
    <x v="14"/>
    <n v="6"/>
    <n v="191.66"/>
    <n v="2"/>
    <n v="0.33333333333333331"/>
    <n v="3753.06"/>
    <n v="1"/>
    <n v="3.8300000000000001E-2"/>
  </r>
  <r>
    <x v="14"/>
    <x v="4"/>
    <x v="11"/>
    <x v="36"/>
    <n v="7"/>
    <n v="190.08"/>
    <n v="2"/>
    <n v="0.2857142857142857"/>
    <n v="649.97"/>
    <n v="3"/>
    <n v="2.8799999999999999E-2"/>
  </r>
  <r>
    <x v="15"/>
    <x v="4"/>
    <x v="11"/>
    <x v="42"/>
    <n v="5"/>
    <n v="168.89"/>
    <n v="3"/>
    <n v="0.6"/>
    <n v="1153.93"/>
    <n v="2"/>
    <n v="8.2500000000000004E-2"/>
  </r>
  <r>
    <x v="16"/>
    <x v="4"/>
    <x v="11"/>
    <x v="0"/>
    <n v="6"/>
    <n v="87.83"/>
    <n v="6"/>
    <n v="1"/>
    <n v="3741.27"/>
    <n v="1"/>
    <n v="9.9700000000000011E-2"/>
  </r>
  <r>
    <x v="17"/>
    <x v="4"/>
    <x v="11"/>
    <x v="58"/>
    <n v="13"/>
    <n v="543.15"/>
    <n v="6"/>
    <n v="0.46153846153846156"/>
    <n v="3793.56"/>
    <n v="3"/>
    <n v="3.56E-2"/>
  </r>
  <r>
    <x v="18"/>
    <x v="4"/>
    <x v="11"/>
    <x v="90"/>
    <n v="15"/>
    <n v="181.12"/>
    <n v="5"/>
    <n v="0.33333333333333331"/>
    <n v="454.09"/>
    <n v="2"/>
    <n v="9.3599999999999989E-2"/>
  </r>
  <r>
    <x v="19"/>
    <x v="4"/>
    <x v="11"/>
    <x v="0"/>
    <n v="14"/>
    <n v="508.85"/>
    <n v="1"/>
    <n v="7.1428571428571425E-2"/>
    <n v="1182.6300000000001"/>
    <n v="1"/>
    <n v="8.9999999999999998E-4"/>
  </r>
  <r>
    <x v="20"/>
    <x v="4"/>
    <x v="11"/>
    <x v="34"/>
    <n v="17"/>
    <n v="297.83999999999997"/>
    <n v="1"/>
    <n v="5.8823529411764705E-2"/>
    <n v="1553.7"/>
    <n v="1"/>
    <n v="5.0700000000000002E-2"/>
  </r>
  <r>
    <x v="21"/>
    <x v="4"/>
    <x v="11"/>
    <x v="91"/>
    <n v="6"/>
    <n v="537.26"/>
    <n v="1"/>
    <n v="0.16666666666666666"/>
    <n v="3665.55"/>
    <n v="3"/>
    <n v="3.0800000000000001E-2"/>
  </r>
  <r>
    <x v="22"/>
    <x v="4"/>
    <x v="11"/>
    <x v="35"/>
    <n v="9"/>
    <n v="188.49"/>
    <n v="7"/>
    <n v="0.77777777777777779"/>
    <n v="545.09"/>
    <n v="2"/>
    <n v="8.5600000000000009E-2"/>
  </r>
  <r>
    <x v="23"/>
    <x v="4"/>
    <x v="11"/>
    <x v="46"/>
    <n v="14"/>
    <n v="370.36"/>
    <n v="0"/>
    <n v="0"/>
    <n v="2605.02"/>
    <n v="1"/>
    <n v="2.5499999999999998E-2"/>
  </r>
  <r>
    <x v="24"/>
    <x v="4"/>
    <x v="11"/>
    <x v="77"/>
    <n v="10"/>
    <n v="500.83"/>
    <n v="4"/>
    <n v="0.4"/>
    <n v="239.13"/>
    <n v="3"/>
    <n v="6.1900000000000004E-2"/>
  </r>
  <r>
    <x v="25"/>
    <x v="4"/>
    <x v="11"/>
    <x v="51"/>
    <n v="15"/>
    <n v="319.08999999999997"/>
    <n v="7"/>
    <n v="0.46666666666666667"/>
    <n v="4573.5"/>
    <n v="2"/>
    <n v="8.0399999999999985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64D169-F348-4C99-829D-772BCF403100}" name="PivotTable4" cacheId="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9:G36" firstHeaderRow="0" firstDataRow="1" firstDataCol="1"/>
  <pivotFields count="13">
    <pivotField axis="axisRow" compact="0" outline="0"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compact="0" outline="0" showAll="0">
      <items count="6">
        <item x="4"/>
        <item x="3"/>
        <item x="0"/>
        <item x="1"/>
        <item x="2"/>
        <item t="default"/>
      </items>
    </pivotField>
    <pivotField compact="0" numFmtId="14" outline="0" showAll="0">
      <items count="13">
        <item x="0"/>
        <item x="1"/>
        <item x="2"/>
        <item x="3"/>
        <item x="4"/>
        <item x="5"/>
        <item x="6"/>
        <item x="7"/>
        <item x="8"/>
        <item x="9"/>
        <item x="10"/>
        <item x="11"/>
        <item t="default"/>
      </items>
    </pivotField>
    <pivotField dataField="1" compact="0" outline="0"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compact="0" outline="0" showAll="0"/>
    <pivotField compact="0" outline="0" showAll="0"/>
    <pivotField dataField="1" compact="0" outline="0" showAll="0"/>
    <pivotField compact="0" numFmtId="9" outline="0" showAll="0"/>
    <pivotField dataField="1" compact="0" outline="0" showAll="0"/>
    <pivotField compact="0" outline="0" showAll="0"/>
    <pivotField compact="0" numFmtId="9"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4">
    <i>
      <x/>
    </i>
    <i i="1">
      <x v="1"/>
    </i>
    <i i="2">
      <x v="2"/>
    </i>
    <i i="3">
      <x v="3"/>
    </i>
  </colItems>
  <dataFields count="4">
    <dataField name=" Total Calls" fld="3" baseField="0" baseItem="0"/>
    <dataField name=" Calls Reached" fld="4" baseField="0" baseItem="0"/>
    <dataField name=" Deals Closed" fld="6" baseField="0" baseItem="0"/>
    <dataField name=" Deal Value ($)" fld="8" baseField="0" baseItem="0"/>
  </dataFields>
  <formats count="3">
    <format dxfId="101">
      <pivotArea outline="0" collapsedLevelsAreSubtotals="1" fieldPosition="0"/>
    </format>
    <format dxfId="99">
      <pivotArea field="0" type="button" dataOnly="0" labelOnly="1" outline="0" axis="axisRow" fieldPosition="0"/>
    </format>
    <format dxfId="98">
      <pivotArea dataOnly="0" labelOnly="1" outline="0" fieldPosition="0">
        <references count="1">
          <reference field="4294967294" count="4">
            <x v="0"/>
            <x v="1"/>
            <x v="2"/>
            <x v="3"/>
          </reference>
        </references>
      </pivotArea>
    </format>
  </formats>
  <conditionalFormats count="4">
    <conditionalFormat priority="5">
      <pivotAreas count="1">
        <pivotArea type="data" outline="0" collapsedLevelsAreSubtotals="1" fieldPosition="0">
          <references count="2">
            <reference field="4294967294" count="1" selected="0">
              <x v="0"/>
            </reference>
            <reference field="0" count="26" selected="0">
              <x v="0"/>
              <x v="1"/>
              <x v="2"/>
              <x v="3"/>
              <x v="4"/>
              <x v="5"/>
              <x v="6"/>
              <x v="7"/>
              <x v="8"/>
              <x v="9"/>
              <x v="10"/>
              <x v="11"/>
              <x v="12"/>
              <x v="13"/>
              <x v="14"/>
              <x v="15"/>
              <x v="16"/>
              <x v="17"/>
              <x v="18"/>
              <x v="19"/>
              <x v="20"/>
              <x v="21"/>
              <x v="22"/>
              <x v="23"/>
              <x v="24"/>
              <x v="25"/>
            </reference>
          </references>
        </pivotArea>
      </pivotAreas>
    </conditionalFormat>
    <conditionalFormat priority="3">
      <pivotAreas count="1">
        <pivotArea type="data" outline="0" collapsedLevelsAreSubtotals="1" fieldPosition="0">
          <references count="2">
            <reference field="4294967294" count="1" selected="0">
              <x v="1"/>
            </reference>
            <reference field="0" count="26" selected="0">
              <x v="0"/>
              <x v="1"/>
              <x v="2"/>
              <x v="3"/>
              <x v="4"/>
              <x v="5"/>
              <x v="6"/>
              <x v="7"/>
              <x v="8"/>
              <x v="9"/>
              <x v="10"/>
              <x v="11"/>
              <x v="12"/>
              <x v="13"/>
              <x v="14"/>
              <x v="15"/>
              <x v="16"/>
              <x v="17"/>
              <x v="18"/>
              <x v="19"/>
              <x v="20"/>
              <x v="21"/>
              <x v="22"/>
              <x v="23"/>
              <x v="24"/>
              <x v="25"/>
            </reference>
          </references>
        </pivotArea>
      </pivotAreas>
    </conditionalFormat>
    <conditionalFormat priority="2">
      <pivotAreas count="1">
        <pivotArea type="data" outline="0" collapsedLevelsAreSubtotals="1" fieldPosition="0">
          <references count="2">
            <reference field="4294967294" count="1" selected="0">
              <x v="2"/>
            </reference>
            <reference field="0" count="26" selected="0">
              <x v="0"/>
              <x v="1"/>
              <x v="2"/>
              <x v="3"/>
              <x v="4"/>
              <x v="5"/>
              <x v="6"/>
              <x v="7"/>
              <x v="8"/>
              <x v="9"/>
              <x v="10"/>
              <x v="11"/>
              <x v="12"/>
              <x v="13"/>
              <x v="14"/>
              <x v="15"/>
              <x v="16"/>
              <x v="17"/>
              <x v="18"/>
              <x v="19"/>
              <x v="20"/>
              <x v="21"/>
              <x v="22"/>
              <x v="23"/>
              <x v="24"/>
              <x v="25"/>
            </reference>
          </references>
        </pivotArea>
      </pivotAreas>
    </conditionalFormat>
    <conditionalFormat priority="1">
      <pivotAreas count="1">
        <pivotArea type="data" outline="0" collapsedLevelsAreSubtotals="1" fieldPosition="0">
          <references count="2">
            <reference field="4294967294" count="1" selected="0">
              <x v="3"/>
            </reference>
            <reference field="0" count="26" selected="0">
              <x v="0"/>
              <x v="1"/>
              <x v="2"/>
              <x v="3"/>
              <x v="4"/>
              <x v="5"/>
              <x v="6"/>
              <x v="7"/>
              <x v="8"/>
              <x v="9"/>
              <x v="10"/>
              <x v="11"/>
              <x v="12"/>
              <x v="13"/>
              <x v="14"/>
              <x v="15"/>
              <x v="16"/>
              <x v="17"/>
              <x v="18"/>
              <x v="19"/>
              <x v="20"/>
              <x v="21"/>
              <x v="22"/>
              <x v="23"/>
              <x v="24"/>
              <x v="2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D25D90-BF4E-40ED-9C54-F3B7542F9EC6}" name="PivotTable3" cacheId="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B36"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13">
        <item x="0"/>
        <item x="1"/>
        <item x="2"/>
        <item x="3"/>
        <item x="4"/>
        <item x="5"/>
        <item x="6"/>
        <item x="7"/>
        <item x="8"/>
        <item x="9"/>
        <item x="10"/>
        <item x="11"/>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pivotField showAll="0"/>
    <pivotField showAll="0"/>
    <pivotField numFmtId="9" showAll="0"/>
    <pivotField dataField="1" showAll="0"/>
    <pivotField showAll="0"/>
    <pivotField numFmtId="9"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 Deal Value ($)" fld="8" baseField="0" baseItem="0"/>
  </dataFields>
  <formats count="1">
    <format dxfId="105">
      <pivotArea outline="0" collapsedLevelsAreSubtotals="1" fieldPosition="0"/>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6150A8-D95C-4D55-92C5-E760A078FD03}" name="PivotTable2" cacheId="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7"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axis="axisRow" showAll="0">
      <items count="6">
        <item x="4"/>
        <item x="3"/>
        <item x="0"/>
        <item x="1"/>
        <item x="2"/>
        <item t="default"/>
      </items>
    </pivotField>
    <pivotField numFmtId="14" showAll="0">
      <items count="13">
        <item x="0"/>
        <item x="1"/>
        <item x="2"/>
        <item x="3"/>
        <item x="4"/>
        <item x="5"/>
        <item x="6"/>
        <item x="7"/>
        <item x="8"/>
        <item x="9"/>
        <item x="10"/>
        <item x="11"/>
        <item t="default"/>
      </items>
    </pivotField>
    <pivotField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showAll="0"/>
    <pivotField showAll="0"/>
    <pivotField showAll="0"/>
    <pivotField numFmtId="9" showAll="0"/>
    <pivotField showAll="0"/>
    <pivotField dataField="1"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Average of Service Level" fld="9" subtotal="average" baseField="1" baseItem="0"/>
  </dataFields>
  <formats count="2">
    <format dxfId="107">
      <pivotArea outline="0" collapsedLevelsAreSubtotals="1" fieldPosition="0"/>
    </format>
    <format dxfId="106">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E75F61-8B71-4AE6-8540-D43B5CEF3D79}" name="PivotTable1" cacheId="8"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3">
    <pivotField showAll="0">
      <items count="27">
        <item x="15"/>
        <item x="1"/>
        <item x="5"/>
        <item x="7"/>
        <item x="9"/>
        <item x="23"/>
        <item x="17"/>
        <item x="24"/>
        <item x="2"/>
        <item x="21"/>
        <item x="0"/>
        <item x="20"/>
        <item x="13"/>
        <item x="3"/>
        <item x="10"/>
        <item x="22"/>
        <item x="16"/>
        <item x="4"/>
        <item x="14"/>
        <item x="25"/>
        <item x="8"/>
        <item x="12"/>
        <item x="11"/>
        <item x="6"/>
        <item x="19"/>
        <item x="18"/>
        <item t="default"/>
      </items>
    </pivotField>
    <pivotField showAll="0"/>
    <pivotField numFmtId="14" showAll="0">
      <items count="13">
        <item x="0"/>
        <item x="1"/>
        <item x="2"/>
        <item x="3"/>
        <item x="4"/>
        <item x="5"/>
        <item x="6"/>
        <item x="7"/>
        <item x="8"/>
        <item x="9"/>
        <item x="10"/>
        <item x="11"/>
        <item t="default"/>
      </items>
    </pivotField>
    <pivotField dataField="1" showAll="0">
      <items count="93">
        <item x="44"/>
        <item x="53"/>
        <item x="9"/>
        <item x="39"/>
        <item x="30"/>
        <item x="34"/>
        <item x="24"/>
        <item x="88"/>
        <item x="3"/>
        <item x="17"/>
        <item x="58"/>
        <item x="86"/>
        <item x="50"/>
        <item x="57"/>
        <item x="32"/>
        <item x="14"/>
        <item x="77"/>
        <item x="43"/>
        <item x="8"/>
        <item x="31"/>
        <item x="10"/>
        <item x="29"/>
        <item x="20"/>
        <item x="51"/>
        <item x="72"/>
        <item x="52"/>
        <item x="62"/>
        <item x="21"/>
        <item x="56"/>
        <item x="63"/>
        <item x="2"/>
        <item x="28"/>
        <item x="65"/>
        <item x="41"/>
        <item x="82"/>
        <item x="23"/>
        <item x="75"/>
        <item x="12"/>
        <item x="37"/>
        <item x="36"/>
        <item x="73"/>
        <item x="5"/>
        <item x="7"/>
        <item x="45"/>
        <item x="22"/>
        <item x="19"/>
        <item x="47"/>
        <item x="26"/>
        <item x="66"/>
        <item x="11"/>
        <item x="6"/>
        <item x="33"/>
        <item x="76"/>
        <item x="71"/>
        <item x="55"/>
        <item x="16"/>
        <item x="0"/>
        <item x="67"/>
        <item x="54"/>
        <item x="40"/>
        <item x="1"/>
        <item x="78"/>
        <item x="79"/>
        <item x="4"/>
        <item x="13"/>
        <item x="35"/>
        <item x="46"/>
        <item x="64"/>
        <item x="84"/>
        <item x="83"/>
        <item x="42"/>
        <item x="27"/>
        <item x="38"/>
        <item x="15"/>
        <item x="25"/>
        <item x="91"/>
        <item x="18"/>
        <item x="68"/>
        <item x="85"/>
        <item x="90"/>
        <item x="60"/>
        <item x="89"/>
        <item x="87"/>
        <item x="59"/>
        <item x="61"/>
        <item x="69"/>
        <item x="80"/>
        <item x="49"/>
        <item x="48"/>
        <item x="70"/>
        <item x="74"/>
        <item x="81"/>
        <item t="default"/>
      </items>
    </pivotField>
    <pivotField dataField="1" showAll="0"/>
    <pivotField showAll="0"/>
    <pivotField dataField="1" showAll="0"/>
    <pivotField numFmtId="9" showAll="0"/>
    <pivotField dataField="1" showAll="0"/>
    <pivotField showAll="0"/>
    <pivotField numFmtId="9"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 Total Calls" fld="3" baseField="0" baseItem="0"/>
    <dataField name=" Calls Reached" fld="4" baseField="0" baseItem="0"/>
    <dataField name=" Deals Closed" fld="6" baseField="0" baseItem="0"/>
    <dataField name=" Deal Value ($)" fld="8" baseField="0" baseItem="0"/>
  </dataFields>
  <formats count="1">
    <format dxfId="1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47E86156-F92F-4F75-8267-C20DDB2C06C1}" sourceName="Name">
  <pivotTables>
    <pivotTable tabId="3" name="PivotTable4"/>
    <pivotTable tabId="2" name="PivotTable1"/>
    <pivotTable tabId="2" name="PivotTable2"/>
    <pivotTable tabId="2" name="PivotTable3"/>
  </pivotTables>
  <data>
    <tabular pivotCacheId="712548658">
      <items count="26">
        <i x="15" s="1"/>
        <i x="1" s="1"/>
        <i x="5" s="1"/>
        <i x="7" s="1"/>
        <i x="9" s="1"/>
        <i x="23" s="1"/>
        <i x="17" s="1"/>
        <i x="24" s="1"/>
        <i x="2" s="1"/>
        <i x="21" s="1"/>
        <i x="0" s="1"/>
        <i x="20" s="1"/>
        <i x="13" s="1"/>
        <i x="3" s="1"/>
        <i x="10" s="1"/>
        <i x="22" s="1"/>
        <i x="16" s="1"/>
        <i x="4" s="1"/>
        <i x="14" s="1"/>
        <i x="25" s="1"/>
        <i x="8" s="1"/>
        <i x="12" s="1"/>
        <i x="11" s="1"/>
        <i x="6" s="1"/>
        <i x="19"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xr10:uid="{071FE4AC-79E1-423D-B583-72CFEA90154F}" cache="Slicer_Name" caption="Name"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5ACF2E-81C6-44B9-9ABB-7FA4E3EB3DAF}" name="SalesData3" displayName="SalesData3" ref="A1:K313" totalsRowShown="0" headerRowDxfId="109">
  <autoFilter ref="A1:K313" xr:uid="{DC5ACF2E-81C6-44B9-9ABB-7FA4E3EB3DAF}"/>
  <tableColumns count="11">
    <tableColumn id="1" xr3:uid="{9E641D3F-5326-4877-8945-5B3C1BCAEFA3}" name="Name"/>
    <tableColumn id="11" xr3:uid="{EB04636C-09D7-4025-BE50-C49D746FF361}" name="Region"/>
    <tableColumn id="2" xr3:uid="{7AD65886-3895-4B74-A825-7DCC257C7906}" name="Date" dataDxfId="112"/>
    <tableColumn id="3" xr3:uid="{BF73727A-1D28-4D07-AD16-BE1B7BA77D8B}" name="Total Calls"/>
    <tableColumn id="4" xr3:uid="{7DAE2129-C33A-402C-B615-1391E22F7FCA}" name="Calls Reached"/>
    <tableColumn id="5" xr3:uid="{8B953DBF-8A95-47C1-8A82-FAF5E3C1F95B}" name="Average Duration (sec)"/>
    <tableColumn id="6" xr3:uid="{F6C47389-DF73-4AF5-AB15-2EDA91522C2C}" name="Deals Closed"/>
    <tableColumn id="7" xr3:uid="{ACE7313E-BD02-4822-B9C7-BBBA78E12223}" name="Call Conversion Rate (%)" dataDxfId="111"/>
    <tableColumn id="8" xr3:uid="{A86CB547-6CEE-430F-878E-75A01CA92971}" name="Deal Value ($)"/>
    <tableColumn id="10" xr3:uid="{5DD943C1-BF35-4E23-A319-D0F2581D95FC}" name="Service Level"/>
    <tableColumn id="9" xr3:uid="{8DC9C18C-1503-43D4-A220-30BA4554AE15}" name="Call Drop Rate (%)" dataDxfId="1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A4D82-0081-4E30-AC67-D93F7ADEE2E8}">
  <dimension ref="B1:G143"/>
  <sheetViews>
    <sheetView showGridLines="0" tabSelected="1" workbookViewId="0">
      <selection activeCell="M9" sqref="M9"/>
    </sheetView>
  </sheetViews>
  <sheetFormatPr defaultRowHeight="14.5" x14ac:dyDescent="0.35"/>
  <cols>
    <col min="1" max="1" width="8.7265625" style="12"/>
    <col min="2" max="2" width="11.81640625" style="12" customWidth="1"/>
    <col min="3" max="3" width="10.36328125" style="12" bestFit="1" customWidth="1"/>
    <col min="4" max="4" width="9.90625" style="12" bestFit="1" customWidth="1"/>
    <col min="5" max="5" width="13.26953125" style="12" bestFit="1" customWidth="1"/>
    <col min="6" max="6" width="12.08984375" style="12" bestFit="1" customWidth="1"/>
    <col min="7" max="7" width="12.7265625" style="12" bestFit="1" customWidth="1"/>
    <col min="8" max="16384" width="8.7265625" style="12"/>
  </cols>
  <sheetData>
    <row r="1" spans="2:7" s="13" customFormat="1" x14ac:dyDescent="0.35"/>
    <row r="2" spans="2:7" s="13" customFormat="1" ht="23.5" x14ac:dyDescent="0.55000000000000004">
      <c r="B2" s="14" t="s">
        <v>64</v>
      </c>
    </row>
    <row r="3" spans="2:7" s="13" customFormat="1" x14ac:dyDescent="0.35">
      <c r="C3" s="15" t="s">
        <v>65</v>
      </c>
    </row>
    <row r="4" spans="2:7" s="13" customFormat="1" x14ac:dyDescent="0.35"/>
    <row r="5" spans="2:7" s="13" customFormat="1" x14ac:dyDescent="0.35"/>
    <row r="6" spans="2:7" s="13" customFormat="1" x14ac:dyDescent="0.35"/>
    <row r="7" spans="2:7" s="13" customFormat="1" x14ac:dyDescent="0.35"/>
    <row r="8" spans="2:7" s="13" customFormat="1" x14ac:dyDescent="0.35"/>
    <row r="9" spans="2:7" x14ac:dyDescent="0.35">
      <c r="C9" s="16" t="s">
        <v>0</v>
      </c>
      <c r="D9" s="16" t="s">
        <v>45</v>
      </c>
      <c r="E9" s="16" t="s">
        <v>46</v>
      </c>
      <c r="F9" s="16" t="s">
        <v>47</v>
      </c>
      <c r="G9" s="16" t="s">
        <v>48</v>
      </c>
    </row>
    <row r="10" spans="2:7" x14ac:dyDescent="0.35">
      <c r="C10" t="s">
        <v>27</v>
      </c>
      <c r="D10" s="9">
        <v>1119</v>
      </c>
      <c r="E10" s="9">
        <v>61</v>
      </c>
      <c r="F10" s="9">
        <v>40</v>
      </c>
      <c r="G10" s="9">
        <v>14672.969999999998</v>
      </c>
    </row>
    <row r="11" spans="2:7" x14ac:dyDescent="0.35">
      <c r="C11" t="s">
        <v>13</v>
      </c>
      <c r="D11" s="9">
        <v>907</v>
      </c>
      <c r="E11" s="9">
        <v>141</v>
      </c>
      <c r="F11" s="9">
        <v>53</v>
      </c>
      <c r="G11" s="9">
        <v>45196.26</v>
      </c>
    </row>
    <row r="12" spans="2:7" x14ac:dyDescent="0.35">
      <c r="C12" t="s">
        <v>17</v>
      </c>
      <c r="D12" s="9">
        <v>731</v>
      </c>
      <c r="E12" s="9">
        <v>79</v>
      </c>
      <c r="F12" s="9">
        <v>31</v>
      </c>
      <c r="G12" s="9">
        <v>43859.520000000004</v>
      </c>
    </row>
    <row r="13" spans="2:7" x14ac:dyDescent="0.35">
      <c r="C13" t="s">
        <v>19</v>
      </c>
      <c r="D13" s="9">
        <v>660</v>
      </c>
      <c r="E13" s="9">
        <v>92</v>
      </c>
      <c r="F13" s="9">
        <v>71</v>
      </c>
      <c r="G13" s="9">
        <v>49072.98</v>
      </c>
    </row>
    <row r="14" spans="2:7" x14ac:dyDescent="0.35">
      <c r="C14" t="s">
        <v>21</v>
      </c>
      <c r="D14" s="9">
        <v>806</v>
      </c>
      <c r="E14" s="9">
        <v>184</v>
      </c>
      <c r="F14" s="9">
        <v>100</v>
      </c>
      <c r="G14" s="9">
        <v>12040.489999999998</v>
      </c>
    </row>
    <row r="15" spans="2:7" x14ac:dyDescent="0.35">
      <c r="C15" t="s">
        <v>35</v>
      </c>
      <c r="D15" s="9">
        <v>1180</v>
      </c>
      <c r="E15" s="9">
        <v>173</v>
      </c>
      <c r="F15" s="9">
        <v>4</v>
      </c>
      <c r="G15" s="9">
        <v>34781.939999999995</v>
      </c>
    </row>
    <row r="16" spans="2:7" x14ac:dyDescent="0.35">
      <c r="C16" t="s">
        <v>29</v>
      </c>
      <c r="D16" s="9">
        <v>288</v>
      </c>
      <c r="E16" s="9">
        <v>180</v>
      </c>
      <c r="F16" s="9">
        <v>81</v>
      </c>
      <c r="G16" s="9">
        <v>44979.729999999996</v>
      </c>
    </row>
    <row r="17" spans="3:7" x14ac:dyDescent="0.35">
      <c r="C17" t="s">
        <v>37</v>
      </c>
      <c r="D17" s="9">
        <v>407</v>
      </c>
      <c r="E17" s="9">
        <v>130</v>
      </c>
      <c r="F17" s="9">
        <v>52</v>
      </c>
      <c r="G17" s="9">
        <v>2829.58</v>
      </c>
    </row>
    <row r="18" spans="3:7" x14ac:dyDescent="0.35">
      <c r="C18" t="s">
        <v>14</v>
      </c>
      <c r="D18" s="9">
        <v>617</v>
      </c>
      <c r="E18" s="9">
        <v>177</v>
      </c>
      <c r="F18" s="9">
        <v>28</v>
      </c>
      <c r="G18" s="9">
        <v>42137.53</v>
      </c>
    </row>
    <row r="19" spans="3:7" x14ac:dyDescent="0.35">
      <c r="C19" t="s">
        <v>33</v>
      </c>
      <c r="D19" s="9">
        <v>1151</v>
      </c>
      <c r="E19" s="9">
        <v>69</v>
      </c>
      <c r="F19" s="9">
        <v>18</v>
      </c>
      <c r="G19" s="9">
        <v>41544.150000000009</v>
      </c>
    </row>
    <row r="20" spans="3:7" x14ac:dyDescent="0.35">
      <c r="C20" t="s">
        <v>11</v>
      </c>
      <c r="D20" s="9">
        <v>783</v>
      </c>
      <c r="E20" s="9">
        <v>181</v>
      </c>
      <c r="F20" s="9">
        <v>77</v>
      </c>
      <c r="G20" s="9">
        <v>49041</v>
      </c>
    </row>
    <row r="21" spans="3:7" x14ac:dyDescent="0.35">
      <c r="C21" t="s">
        <v>32</v>
      </c>
      <c r="D21" s="9">
        <v>246</v>
      </c>
      <c r="E21" s="9">
        <v>172</v>
      </c>
      <c r="F21" s="9">
        <v>17</v>
      </c>
      <c r="G21" s="9">
        <v>18659.18</v>
      </c>
    </row>
    <row r="22" spans="3:7" x14ac:dyDescent="0.35">
      <c r="C22" t="s">
        <v>25</v>
      </c>
      <c r="D22" s="9">
        <v>379</v>
      </c>
      <c r="E22" s="9">
        <v>87</v>
      </c>
      <c r="F22" s="9">
        <v>18</v>
      </c>
      <c r="G22" s="9">
        <v>45591.429999999993</v>
      </c>
    </row>
    <row r="23" spans="3:7" x14ac:dyDescent="0.35">
      <c r="C23" t="s">
        <v>15</v>
      </c>
      <c r="D23" s="9">
        <v>241</v>
      </c>
      <c r="E23" s="9">
        <v>80</v>
      </c>
      <c r="F23" s="9">
        <v>40</v>
      </c>
      <c r="G23" s="9">
        <v>18368.47</v>
      </c>
    </row>
    <row r="24" spans="3:7" x14ac:dyDescent="0.35">
      <c r="C24" t="s">
        <v>22</v>
      </c>
      <c r="D24" s="9">
        <v>226</v>
      </c>
      <c r="E24" s="9">
        <v>91</v>
      </c>
      <c r="F24" s="9">
        <v>73</v>
      </c>
      <c r="G24" s="9">
        <v>9402.9399999999987</v>
      </c>
    </row>
    <row r="25" spans="3:7" x14ac:dyDescent="0.35">
      <c r="C25" t="s">
        <v>34</v>
      </c>
      <c r="D25" s="9">
        <v>848</v>
      </c>
      <c r="E25" s="9">
        <v>99</v>
      </c>
      <c r="F25" s="9">
        <v>84</v>
      </c>
      <c r="G25" s="9">
        <v>6133.4100000000008</v>
      </c>
    </row>
    <row r="26" spans="3:7" x14ac:dyDescent="0.35">
      <c r="C26" t="s">
        <v>28</v>
      </c>
      <c r="D26" s="9">
        <v>1023</v>
      </c>
      <c r="E26" s="9">
        <v>76</v>
      </c>
      <c r="F26" s="9">
        <v>64</v>
      </c>
      <c r="G26" s="9">
        <v>45365.2</v>
      </c>
    </row>
    <row r="27" spans="3:7" x14ac:dyDescent="0.35">
      <c r="C27" t="s">
        <v>16</v>
      </c>
      <c r="D27" s="9">
        <v>977</v>
      </c>
      <c r="E27" s="9">
        <v>166</v>
      </c>
      <c r="F27" s="9">
        <v>55</v>
      </c>
      <c r="G27" s="9">
        <v>12143.710000000001</v>
      </c>
    </row>
    <row r="28" spans="3:7" x14ac:dyDescent="0.35">
      <c r="C28" t="s">
        <v>26</v>
      </c>
      <c r="D28" s="9">
        <v>747</v>
      </c>
      <c r="E28" s="9">
        <v>97</v>
      </c>
      <c r="F28" s="9">
        <v>31</v>
      </c>
      <c r="G28" s="9">
        <v>7844.18</v>
      </c>
    </row>
    <row r="29" spans="3:7" x14ac:dyDescent="0.35">
      <c r="C29" t="s">
        <v>38</v>
      </c>
      <c r="D29" s="9">
        <v>453</v>
      </c>
      <c r="E29" s="9">
        <v>184</v>
      </c>
      <c r="F29" s="9">
        <v>92</v>
      </c>
      <c r="G29" s="9">
        <v>50524.4</v>
      </c>
    </row>
    <row r="30" spans="3:7" x14ac:dyDescent="0.35">
      <c r="C30" t="s">
        <v>20</v>
      </c>
      <c r="D30" s="9">
        <v>367</v>
      </c>
      <c r="E30" s="9">
        <v>217</v>
      </c>
      <c r="F30" s="9">
        <v>103</v>
      </c>
      <c r="G30" s="9">
        <v>14209.390000000001</v>
      </c>
    </row>
    <row r="31" spans="3:7" x14ac:dyDescent="0.35">
      <c r="C31" t="s">
        <v>24</v>
      </c>
      <c r="D31" s="9">
        <v>882</v>
      </c>
      <c r="E31" s="9">
        <v>225</v>
      </c>
      <c r="F31" s="9">
        <v>30</v>
      </c>
      <c r="G31" s="9">
        <v>4278.2</v>
      </c>
    </row>
    <row r="32" spans="3:7" x14ac:dyDescent="0.35">
      <c r="C32" t="s">
        <v>23</v>
      </c>
      <c r="D32" s="9">
        <v>420</v>
      </c>
      <c r="E32" s="9">
        <v>74</v>
      </c>
      <c r="F32" s="9">
        <v>59</v>
      </c>
      <c r="G32" s="9">
        <v>44146.13</v>
      </c>
    </row>
    <row r="33" spans="3:7" x14ac:dyDescent="0.35">
      <c r="C33" t="s">
        <v>18</v>
      </c>
      <c r="D33" s="9">
        <v>924</v>
      </c>
      <c r="E33" s="9">
        <v>218</v>
      </c>
      <c r="F33" s="9">
        <v>30</v>
      </c>
      <c r="G33" s="9">
        <v>29842.950000000004</v>
      </c>
    </row>
    <row r="34" spans="3:7" x14ac:dyDescent="0.35">
      <c r="C34" t="s">
        <v>31</v>
      </c>
      <c r="D34" s="9">
        <v>831</v>
      </c>
      <c r="E34" s="9">
        <v>154</v>
      </c>
      <c r="F34" s="9">
        <v>4</v>
      </c>
      <c r="G34" s="9">
        <v>14526.439999999999</v>
      </c>
    </row>
    <row r="35" spans="3:7" x14ac:dyDescent="0.35">
      <c r="C35" t="s">
        <v>30</v>
      </c>
      <c r="D35" s="9">
        <v>1087</v>
      </c>
      <c r="E35" s="9">
        <v>212</v>
      </c>
      <c r="F35" s="9">
        <v>54</v>
      </c>
      <c r="G35" s="9">
        <v>5002.7100000000009</v>
      </c>
    </row>
    <row r="36" spans="3:7" x14ac:dyDescent="0.35">
      <c r="C36" t="s">
        <v>43</v>
      </c>
      <c r="D36" s="9">
        <v>18300</v>
      </c>
      <c r="E36" s="9">
        <v>3619</v>
      </c>
      <c r="F36" s="9">
        <v>1309</v>
      </c>
      <c r="G36" s="9">
        <v>706194.8899999999</v>
      </c>
    </row>
    <row r="37" spans="3:7" x14ac:dyDescent="0.35">
      <c r="C37"/>
      <c r="D37"/>
      <c r="E37"/>
    </row>
    <row r="38" spans="3:7" x14ac:dyDescent="0.35">
      <c r="C38"/>
      <c r="D38"/>
      <c r="E38"/>
    </row>
    <row r="39" spans="3:7" x14ac:dyDescent="0.35">
      <c r="C39"/>
      <c r="D39"/>
      <c r="E39"/>
    </row>
    <row r="40" spans="3:7" x14ac:dyDescent="0.35">
      <c r="C40"/>
      <c r="D40"/>
      <c r="E40"/>
    </row>
    <row r="41" spans="3:7" x14ac:dyDescent="0.35">
      <c r="C41"/>
      <c r="D41"/>
      <c r="E41"/>
    </row>
    <row r="42" spans="3:7" x14ac:dyDescent="0.35">
      <c r="C42"/>
      <c r="D42"/>
      <c r="E42"/>
    </row>
    <row r="43" spans="3:7" x14ac:dyDescent="0.35">
      <c r="C43"/>
      <c r="D43"/>
      <c r="E43"/>
    </row>
    <row r="44" spans="3:7" x14ac:dyDescent="0.35">
      <c r="C44"/>
      <c r="D44"/>
      <c r="E44"/>
    </row>
    <row r="45" spans="3:7" x14ac:dyDescent="0.35">
      <c r="C45"/>
      <c r="D45"/>
      <c r="E45"/>
    </row>
    <row r="46" spans="3:7" x14ac:dyDescent="0.35">
      <c r="C46"/>
      <c r="D46"/>
      <c r="E46"/>
    </row>
    <row r="47" spans="3:7" x14ac:dyDescent="0.35">
      <c r="C47"/>
      <c r="D47"/>
      <c r="E47"/>
    </row>
    <row r="48" spans="3:7" x14ac:dyDescent="0.35">
      <c r="C48"/>
      <c r="D48"/>
      <c r="E48"/>
    </row>
    <row r="49" spans="3:5" x14ac:dyDescent="0.35">
      <c r="C49"/>
      <c r="D49"/>
      <c r="E49"/>
    </row>
    <row r="50" spans="3:5" x14ac:dyDescent="0.35">
      <c r="C50"/>
      <c r="D50"/>
      <c r="E50"/>
    </row>
    <row r="51" spans="3:5" x14ac:dyDescent="0.35">
      <c r="C51"/>
      <c r="D51"/>
      <c r="E51"/>
    </row>
    <row r="52" spans="3:5" x14ac:dyDescent="0.35">
      <c r="C52"/>
      <c r="D52"/>
      <c r="E52"/>
    </row>
    <row r="53" spans="3:5" x14ac:dyDescent="0.35">
      <c r="C53"/>
      <c r="D53"/>
      <c r="E53"/>
    </row>
    <row r="54" spans="3:5" x14ac:dyDescent="0.35">
      <c r="C54"/>
      <c r="D54"/>
      <c r="E54"/>
    </row>
    <row r="55" spans="3:5" x14ac:dyDescent="0.35">
      <c r="C55"/>
      <c r="D55"/>
      <c r="E55"/>
    </row>
    <row r="56" spans="3:5" x14ac:dyDescent="0.35">
      <c r="C56"/>
      <c r="D56"/>
      <c r="E56"/>
    </row>
    <row r="57" spans="3:5" x14ac:dyDescent="0.35">
      <c r="C57"/>
      <c r="D57"/>
      <c r="E57"/>
    </row>
    <row r="58" spans="3:5" x14ac:dyDescent="0.35">
      <c r="C58"/>
      <c r="D58"/>
      <c r="E58"/>
    </row>
    <row r="59" spans="3:5" x14ac:dyDescent="0.35">
      <c r="C59"/>
      <c r="D59"/>
      <c r="E59"/>
    </row>
    <row r="60" spans="3:5" x14ac:dyDescent="0.35">
      <c r="C60"/>
      <c r="D60"/>
      <c r="E60"/>
    </row>
    <row r="61" spans="3:5" x14ac:dyDescent="0.35">
      <c r="C61"/>
      <c r="D61"/>
      <c r="E61"/>
    </row>
    <row r="62" spans="3:5" x14ac:dyDescent="0.35">
      <c r="C62"/>
      <c r="D62"/>
      <c r="E62"/>
    </row>
    <row r="63" spans="3:5" x14ac:dyDescent="0.35">
      <c r="C63"/>
      <c r="D63"/>
      <c r="E63"/>
    </row>
    <row r="64" spans="3:5" x14ac:dyDescent="0.35">
      <c r="C64"/>
      <c r="D64"/>
      <c r="E64"/>
    </row>
    <row r="65" spans="3:5" x14ac:dyDescent="0.35">
      <c r="C65"/>
      <c r="D65"/>
      <c r="E65"/>
    </row>
    <row r="66" spans="3:5" x14ac:dyDescent="0.35">
      <c r="C66"/>
      <c r="D66"/>
      <c r="E66"/>
    </row>
    <row r="67" spans="3:5" x14ac:dyDescent="0.35">
      <c r="C67"/>
      <c r="D67"/>
      <c r="E67"/>
    </row>
    <row r="68" spans="3:5" x14ac:dyDescent="0.35">
      <c r="C68"/>
      <c r="D68"/>
      <c r="E68"/>
    </row>
    <row r="69" spans="3:5" x14ac:dyDescent="0.35">
      <c r="C69"/>
      <c r="D69"/>
      <c r="E69"/>
    </row>
    <row r="70" spans="3:5" x14ac:dyDescent="0.35">
      <c r="C70"/>
      <c r="D70"/>
      <c r="E70"/>
    </row>
    <row r="71" spans="3:5" x14ac:dyDescent="0.35">
      <c r="C71"/>
      <c r="D71"/>
      <c r="E71"/>
    </row>
    <row r="72" spans="3:5" x14ac:dyDescent="0.35">
      <c r="C72"/>
      <c r="D72"/>
      <c r="E72"/>
    </row>
    <row r="73" spans="3:5" x14ac:dyDescent="0.35">
      <c r="C73"/>
      <c r="D73"/>
      <c r="E73"/>
    </row>
    <row r="74" spans="3:5" x14ac:dyDescent="0.35">
      <c r="C74"/>
      <c r="D74"/>
      <c r="E74"/>
    </row>
    <row r="75" spans="3:5" x14ac:dyDescent="0.35">
      <c r="C75"/>
      <c r="D75"/>
      <c r="E75"/>
    </row>
    <row r="76" spans="3:5" x14ac:dyDescent="0.35">
      <c r="C76"/>
      <c r="D76"/>
      <c r="E76"/>
    </row>
    <row r="77" spans="3:5" x14ac:dyDescent="0.35">
      <c r="C77"/>
      <c r="D77"/>
      <c r="E77"/>
    </row>
    <row r="78" spans="3:5" x14ac:dyDescent="0.35">
      <c r="C78"/>
      <c r="D78"/>
      <c r="E78"/>
    </row>
    <row r="79" spans="3:5" x14ac:dyDescent="0.35">
      <c r="C79"/>
      <c r="D79"/>
      <c r="E79"/>
    </row>
    <row r="80" spans="3:5" x14ac:dyDescent="0.35">
      <c r="C80"/>
      <c r="D80"/>
      <c r="E80"/>
    </row>
    <row r="81" spans="3:5" x14ac:dyDescent="0.35">
      <c r="C81"/>
      <c r="D81"/>
      <c r="E81"/>
    </row>
    <row r="82" spans="3:5" x14ac:dyDescent="0.35">
      <c r="C82"/>
      <c r="D82"/>
      <c r="E82"/>
    </row>
    <row r="83" spans="3:5" x14ac:dyDescent="0.35">
      <c r="C83"/>
      <c r="D83"/>
      <c r="E83"/>
    </row>
    <row r="84" spans="3:5" x14ac:dyDescent="0.35">
      <c r="C84"/>
      <c r="D84"/>
      <c r="E84"/>
    </row>
    <row r="85" spans="3:5" x14ac:dyDescent="0.35">
      <c r="C85"/>
      <c r="D85"/>
      <c r="E85"/>
    </row>
    <row r="86" spans="3:5" x14ac:dyDescent="0.35">
      <c r="C86"/>
      <c r="D86"/>
      <c r="E86"/>
    </row>
    <row r="87" spans="3:5" x14ac:dyDescent="0.35">
      <c r="C87"/>
      <c r="D87"/>
      <c r="E87"/>
    </row>
    <row r="88" spans="3:5" x14ac:dyDescent="0.35">
      <c r="C88"/>
      <c r="D88"/>
      <c r="E88"/>
    </row>
    <row r="89" spans="3:5" x14ac:dyDescent="0.35">
      <c r="C89"/>
      <c r="D89"/>
      <c r="E89"/>
    </row>
    <row r="90" spans="3:5" x14ac:dyDescent="0.35">
      <c r="C90"/>
      <c r="D90"/>
      <c r="E90"/>
    </row>
    <row r="91" spans="3:5" x14ac:dyDescent="0.35">
      <c r="C91"/>
      <c r="D91"/>
      <c r="E91"/>
    </row>
    <row r="92" spans="3:5" x14ac:dyDescent="0.35">
      <c r="C92"/>
      <c r="D92"/>
      <c r="E92"/>
    </row>
    <row r="93" spans="3:5" x14ac:dyDescent="0.35">
      <c r="C93"/>
      <c r="D93"/>
      <c r="E93"/>
    </row>
    <row r="94" spans="3:5" x14ac:dyDescent="0.35">
      <c r="C94"/>
      <c r="D94"/>
      <c r="E94"/>
    </row>
    <row r="95" spans="3:5" x14ac:dyDescent="0.35">
      <c r="C95"/>
      <c r="D95"/>
      <c r="E95"/>
    </row>
    <row r="96" spans="3:5" x14ac:dyDescent="0.35">
      <c r="C96"/>
      <c r="D96"/>
      <c r="E96"/>
    </row>
    <row r="97" spans="3:5" x14ac:dyDescent="0.35">
      <c r="C97"/>
      <c r="D97"/>
      <c r="E97"/>
    </row>
    <row r="98" spans="3:5" x14ac:dyDescent="0.35">
      <c r="C98"/>
      <c r="D98"/>
      <c r="E98"/>
    </row>
    <row r="99" spans="3:5" x14ac:dyDescent="0.35">
      <c r="C99"/>
      <c r="D99"/>
      <c r="E99"/>
    </row>
    <row r="100" spans="3:5" x14ac:dyDescent="0.35">
      <c r="C100"/>
      <c r="D100"/>
      <c r="E100"/>
    </row>
    <row r="101" spans="3:5" x14ac:dyDescent="0.35">
      <c r="C101"/>
      <c r="D101"/>
      <c r="E101"/>
    </row>
    <row r="102" spans="3:5" x14ac:dyDescent="0.35">
      <c r="C102"/>
      <c r="D102"/>
      <c r="E102"/>
    </row>
    <row r="103" spans="3:5" x14ac:dyDescent="0.35">
      <c r="C103"/>
      <c r="D103"/>
      <c r="E103"/>
    </row>
    <row r="104" spans="3:5" x14ac:dyDescent="0.35">
      <c r="C104"/>
      <c r="D104"/>
      <c r="E104"/>
    </row>
    <row r="105" spans="3:5" x14ac:dyDescent="0.35">
      <c r="C105"/>
      <c r="D105"/>
      <c r="E105"/>
    </row>
    <row r="106" spans="3:5" x14ac:dyDescent="0.35">
      <c r="C106"/>
      <c r="D106"/>
      <c r="E106"/>
    </row>
    <row r="107" spans="3:5" x14ac:dyDescent="0.35">
      <c r="C107"/>
      <c r="D107"/>
      <c r="E107"/>
    </row>
    <row r="108" spans="3:5" x14ac:dyDescent="0.35">
      <c r="C108"/>
      <c r="D108"/>
      <c r="E108"/>
    </row>
    <row r="109" spans="3:5" x14ac:dyDescent="0.35">
      <c r="C109"/>
      <c r="D109"/>
      <c r="E109"/>
    </row>
    <row r="110" spans="3:5" x14ac:dyDescent="0.35">
      <c r="C110"/>
      <c r="D110"/>
      <c r="E110"/>
    </row>
    <row r="111" spans="3:5" x14ac:dyDescent="0.35">
      <c r="C111"/>
      <c r="D111"/>
      <c r="E111"/>
    </row>
    <row r="112" spans="3:5" x14ac:dyDescent="0.35">
      <c r="C112"/>
      <c r="D112"/>
      <c r="E112"/>
    </row>
    <row r="113" spans="3:5" x14ac:dyDescent="0.35">
      <c r="C113"/>
      <c r="D113"/>
      <c r="E113"/>
    </row>
    <row r="114" spans="3:5" x14ac:dyDescent="0.35">
      <c r="C114"/>
      <c r="D114"/>
      <c r="E114"/>
    </row>
    <row r="115" spans="3:5" x14ac:dyDescent="0.35">
      <c r="C115"/>
      <c r="D115"/>
      <c r="E115"/>
    </row>
    <row r="116" spans="3:5" x14ac:dyDescent="0.35">
      <c r="C116"/>
      <c r="D116"/>
      <c r="E116"/>
    </row>
    <row r="117" spans="3:5" x14ac:dyDescent="0.35">
      <c r="C117"/>
      <c r="D117"/>
      <c r="E117"/>
    </row>
    <row r="118" spans="3:5" x14ac:dyDescent="0.35">
      <c r="C118"/>
      <c r="D118"/>
    </row>
    <row r="119" spans="3:5" x14ac:dyDescent="0.35">
      <c r="C119"/>
      <c r="D119"/>
    </row>
    <row r="120" spans="3:5" x14ac:dyDescent="0.35">
      <c r="C120"/>
      <c r="D120"/>
    </row>
    <row r="121" spans="3:5" x14ac:dyDescent="0.35">
      <c r="C121"/>
      <c r="D121"/>
    </row>
    <row r="122" spans="3:5" x14ac:dyDescent="0.35">
      <c r="C122"/>
      <c r="D122"/>
    </row>
    <row r="123" spans="3:5" x14ac:dyDescent="0.35">
      <c r="C123"/>
      <c r="D123"/>
    </row>
    <row r="124" spans="3:5" x14ac:dyDescent="0.35">
      <c r="C124"/>
      <c r="D124"/>
    </row>
    <row r="125" spans="3:5" x14ac:dyDescent="0.35">
      <c r="C125"/>
      <c r="D125"/>
    </row>
    <row r="126" spans="3:5" x14ac:dyDescent="0.35">
      <c r="C126"/>
      <c r="D126"/>
    </row>
    <row r="127" spans="3:5" x14ac:dyDescent="0.35">
      <c r="C127"/>
      <c r="D127"/>
    </row>
    <row r="128" spans="3:5" x14ac:dyDescent="0.35">
      <c r="C128"/>
      <c r="D128"/>
    </row>
    <row r="129" spans="3:4" x14ac:dyDescent="0.35">
      <c r="C129"/>
      <c r="D129"/>
    </row>
    <row r="130" spans="3:4" x14ac:dyDescent="0.35">
      <c r="C130"/>
      <c r="D130"/>
    </row>
    <row r="131" spans="3:4" x14ac:dyDescent="0.35">
      <c r="C131"/>
      <c r="D131"/>
    </row>
    <row r="132" spans="3:4" x14ac:dyDescent="0.35">
      <c r="C132"/>
      <c r="D132"/>
    </row>
    <row r="133" spans="3:4" x14ac:dyDescent="0.35">
      <c r="C133"/>
      <c r="D133"/>
    </row>
    <row r="134" spans="3:4" x14ac:dyDescent="0.35">
      <c r="C134"/>
      <c r="D134"/>
    </row>
    <row r="135" spans="3:4" x14ac:dyDescent="0.35">
      <c r="C135"/>
      <c r="D135"/>
    </row>
    <row r="136" spans="3:4" x14ac:dyDescent="0.35">
      <c r="C136"/>
      <c r="D136"/>
    </row>
    <row r="137" spans="3:4" x14ac:dyDescent="0.35">
      <c r="C137"/>
      <c r="D137"/>
    </row>
    <row r="138" spans="3:4" x14ac:dyDescent="0.35">
      <c r="C138"/>
      <c r="D138"/>
    </row>
    <row r="139" spans="3:4" x14ac:dyDescent="0.35">
      <c r="C139"/>
      <c r="D139"/>
    </row>
    <row r="140" spans="3:4" x14ac:dyDescent="0.35">
      <c r="C140"/>
      <c r="D140"/>
    </row>
    <row r="141" spans="3:4" x14ac:dyDescent="0.35">
      <c r="C141"/>
      <c r="D141"/>
    </row>
    <row r="142" spans="3:4" x14ac:dyDescent="0.35">
      <c r="C142"/>
      <c r="D142"/>
    </row>
    <row r="143" spans="3:4" x14ac:dyDescent="0.35">
      <c r="C143"/>
      <c r="D143"/>
    </row>
  </sheetData>
  <conditionalFormatting pivot="1" sqref="D10:D35">
    <cfRule type="dataBar" priority="5">
      <dataBar>
        <cfvo type="min"/>
        <cfvo type="max"/>
        <color rgb="FF63C384"/>
      </dataBar>
      <extLst>
        <ext xmlns:x14="http://schemas.microsoft.com/office/spreadsheetml/2009/9/main" uri="{B025F937-C7B1-47D3-B67F-A62EFF666E3E}">
          <x14:id>{7BED4560-C567-4FCC-91F5-27BD88F20473}</x14:id>
        </ext>
      </extLst>
    </cfRule>
  </conditionalFormatting>
  <conditionalFormatting pivot="1" sqref="E10:E35">
    <cfRule type="dataBar" priority="3">
      <dataBar>
        <cfvo type="min"/>
        <cfvo type="max"/>
        <color rgb="FFFF555A"/>
      </dataBar>
      <extLst>
        <ext xmlns:x14="http://schemas.microsoft.com/office/spreadsheetml/2009/9/main" uri="{B025F937-C7B1-47D3-B67F-A62EFF666E3E}">
          <x14:id>{74FCB8DA-C3A7-4214-BF6D-F38FFDCF54B6}</x14:id>
        </ext>
      </extLst>
    </cfRule>
  </conditionalFormatting>
  <conditionalFormatting pivot="1" sqref="F10:F35">
    <cfRule type="dataBar" priority="2">
      <dataBar>
        <cfvo type="min"/>
        <cfvo type="max"/>
        <color rgb="FFFFB628"/>
      </dataBar>
      <extLst>
        <ext xmlns:x14="http://schemas.microsoft.com/office/spreadsheetml/2009/9/main" uri="{B025F937-C7B1-47D3-B67F-A62EFF666E3E}">
          <x14:id>{D440FCC4-F00A-4866-9A40-00D7E2FB6236}</x14:id>
        </ext>
      </extLst>
    </cfRule>
  </conditionalFormatting>
  <conditionalFormatting pivot="1" sqref="G10:G35">
    <cfRule type="dataBar" priority="1">
      <dataBar>
        <cfvo type="min"/>
        <cfvo type="max"/>
        <color rgb="FF638EC6"/>
      </dataBar>
      <extLst>
        <ext xmlns:x14="http://schemas.microsoft.com/office/spreadsheetml/2009/9/main" uri="{B025F937-C7B1-47D3-B67F-A62EFF666E3E}">
          <x14:id>{71BDE196-705D-457C-9C1D-490AF0AB822C}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7BED4560-C567-4FCC-91F5-27BD88F20473}">
            <x14:dataBar minLength="0" maxLength="100">
              <x14:cfvo type="autoMin"/>
              <x14:cfvo type="autoMax"/>
              <x14:negativeFillColor rgb="FFFF0000"/>
              <x14:axisColor rgb="FF000000"/>
            </x14:dataBar>
          </x14:cfRule>
          <xm:sqref>D10:D35</xm:sqref>
        </x14:conditionalFormatting>
        <x14:conditionalFormatting xmlns:xm="http://schemas.microsoft.com/office/excel/2006/main" pivot="1">
          <x14:cfRule type="dataBar" id="{74FCB8DA-C3A7-4214-BF6D-F38FFDCF54B6}">
            <x14:dataBar minLength="0" maxLength="100">
              <x14:cfvo type="autoMin"/>
              <x14:cfvo type="autoMax"/>
              <x14:negativeFillColor rgb="FFFF0000"/>
              <x14:axisColor rgb="FF000000"/>
            </x14:dataBar>
          </x14:cfRule>
          <xm:sqref>E10:E35</xm:sqref>
        </x14:conditionalFormatting>
        <x14:conditionalFormatting xmlns:xm="http://schemas.microsoft.com/office/excel/2006/main" pivot="1">
          <x14:cfRule type="dataBar" id="{D440FCC4-F00A-4866-9A40-00D7E2FB6236}">
            <x14:dataBar minLength="0" maxLength="100">
              <x14:cfvo type="autoMin"/>
              <x14:cfvo type="autoMax"/>
              <x14:negativeFillColor rgb="FFFF0000"/>
              <x14:axisColor rgb="FF000000"/>
            </x14:dataBar>
          </x14:cfRule>
          <xm:sqref>F10:F35</xm:sqref>
        </x14:conditionalFormatting>
        <x14:conditionalFormatting xmlns:xm="http://schemas.microsoft.com/office/excel/2006/main" pivot="1">
          <x14:cfRule type="dataBar" id="{71BDE196-705D-457C-9C1D-490AF0AB822C}">
            <x14:dataBar minLength="0" maxLength="100">
              <x14:cfvo type="autoMin"/>
              <x14:cfvo type="autoMax"/>
              <x14:negativeFillColor rgb="FFFF0000"/>
              <x14:axisColor rgb="FF000000"/>
            </x14:dataBar>
          </x14:cfRule>
          <xm:sqref>G10:G35</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91026-8A08-4C69-B7F9-05F6E15A4F3B}">
  <dimension ref="A2:F36"/>
  <sheetViews>
    <sheetView topLeftCell="A11" zoomScale="128" workbookViewId="0">
      <selection activeCell="C20" sqref="C20"/>
    </sheetView>
  </sheetViews>
  <sheetFormatPr defaultRowHeight="14.5" x14ac:dyDescent="0.35"/>
  <cols>
    <col min="1" max="1" width="12.453125" bestFit="1" customWidth="1"/>
    <col min="2" max="2" width="12.7265625" bestFit="1" customWidth="1"/>
    <col min="3" max="3" width="18.08984375" bestFit="1" customWidth="1"/>
    <col min="4" max="4" width="9.6328125" bestFit="1" customWidth="1"/>
    <col min="5" max="5" width="4.36328125" bestFit="1" customWidth="1"/>
  </cols>
  <sheetData>
    <row r="2" spans="1:6" x14ac:dyDescent="0.35">
      <c r="D2" t="s">
        <v>62</v>
      </c>
      <c r="F2" t="s">
        <v>63</v>
      </c>
    </row>
    <row r="3" spans="1:6" x14ac:dyDescent="0.35">
      <c r="A3" s="6" t="s">
        <v>44</v>
      </c>
    </row>
    <row r="4" spans="1:6" x14ac:dyDescent="0.35">
      <c r="A4" s="7" t="s">
        <v>45</v>
      </c>
      <c r="B4" s="9">
        <v>18300</v>
      </c>
    </row>
    <row r="5" spans="1:6" x14ac:dyDescent="0.35">
      <c r="A5" s="7" t="s">
        <v>46</v>
      </c>
      <c r="B5" s="9">
        <v>3619</v>
      </c>
      <c r="C5" t="s">
        <v>66</v>
      </c>
    </row>
    <row r="6" spans="1:6" x14ac:dyDescent="0.35">
      <c r="A6" s="7" t="s">
        <v>47</v>
      </c>
      <c r="B6" s="9">
        <v>1309</v>
      </c>
    </row>
    <row r="7" spans="1:6" x14ac:dyDescent="0.35">
      <c r="A7" s="7" t="s">
        <v>48</v>
      </c>
      <c r="B7" s="9">
        <v>706194.88999999966</v>
      </c>
    </row>
    <row r="11" spans="1:6" x14ac:dyDescent="0.35">
      <c r="A11" s="6" t="s">
        <v>42</v>
      </c>
      <c r="B11" t="s">
        <v>49</v>
      </c>
    </row>
    <row r="12" spans="1:6" x14ac:dyDescent="0.35">
      <c r="A12" s="7" t="s">
        <v>41</v>
      </c>
      <c r="B12" s="8">
        <v>1.9830508474576272</v>
      </c>
      <c r="D12" t="str">
        <f>A12</f>
        <v>Barisal</v>
      </c>
      <c r="E12" s="10">
        <f>B12</f>
        <v>1.9830508474576272</v>
      </c>
    </row>
    <row r="13" spans="1:6" x14ac:dyDescent="0.35">
      <c r="A13" s="7" t="s">
        <v>40</v>
      </c>
      <c r="B13" s="8">
        <v>1.9767441860465116</v>
      </c>
      <c r="D13" t="str">
        <f t="shared" ref="D13:D16" si="0">A13</f>
        <v>Chittagong</v>
      </c>
      <c r="E13" s="10">
        <f t="shared" ref="E13:E16" si="1">B13</f>
        <v>1.9767441860465116</v>
      </c>
    </row>
    <row r="14" spans="1:6" x14ac:dyDescent="0.35">
      <c r="A14" s="7" t="s">
        <v>12</v>
      </c>
      <c r="B14" s="8">
        <v>2</v>
      </c>
      <c r="D14" t="str">
        <f t="shared" si="0"/>
        <v>Dhaka</v>
      </c>
      <c r="E14" s="11">
        <f t="shared" si="1"/>
        <v>2</v>
      </c>
    </row>
    <row r="15" spans="1:6" x14ac:dyDescent="0.35">
      <c r="A15" s="7" t="s">
        <v>36</v>
      </c>
      <c r="B15" s="8">
        <v>1.9787234042553192</v>
      </c>
      <c r="D15" t="str">
        <f t="shared" si="0"/>
        <v>Rangpur</v>
      </c>
      <c r="E15" s="10">
        <f t="shared" si="1"/>
        <v>1.9787234042553192</v>
      </c>
    </row>
    <row r="16" spans="1:6" x14ac:dyDescent="0.35">
      <c r="A16" s="7" t="s">
        <v>39</v>
      </c>
      <c r="B16" s="8">
        <v>1.9545454545454546</v>
      </c>
      <c r="D16" t="str">
        <f t="shared" si="0"/>
        <v>Sylhet</v>
      </c>
      <c r="E16" s="10">
        <f t="shared" si="1"/>
        <v>1.9545454545454546</v>
      </c>
    </row>
    <row r="17" spans="1:2" x14ac:dyDescent="0.35">
      <c r="A17" s="7" t="s">
        <v>43</v>
      </c>
      <c r="B17" s="9">
        <v>1.9807692307692308</v>
      </c>
    </row>
    <row r="23" spans="1:2" x14ac:dyDescent="0.35">
      <c r="A23" s="6" t="s">
        <v>42</v>
      </c>
      <c r="B23" t="s">
        <v>48</v>
      </c>
    </row>
    <row r="24" spans="1:2" x14ac:dyDescent="0.35">
      <c r="A24" s="7" t="s">
        <v>50</v>
      </c>
      <c r="B24" s="9">
        <v>57863.17</v>
      </c>
    </row>
    <row r="25" spans="1:2" x14ac:dyDescent="0.35">
      <c r="A25" s="7" t="s">
        <v>51</v>
      </c>
      <c r="B25" s="9">
        <v>59230.42</v>
      </c>
    </row>
    <row r="26" spans="1:2" x14ac:dyDescent="0.35">
      <c r="A26" s="7" t="s">
        <v>52</v>
      </c>
      <c r="B26" s="9">
        <v>60127</v>
      </c>
    </row>
    <row r="27" spans="1:2" x14ac:dyDescent="0.35">
      <c r="A27" s="7" t="s">
        <v>53</v>
      </c>
      <c r="B27" s="9">
        <v>58604.41</v>
      </c>
    </row>
    <row r="28" spans="1:2" x14ac:dyDescent="0.35">
      <c r="A28" s="7" t="s">
        <v>54</v>
      </c>
      <c r="B28" s="9">
        <v>58564.01999999999</v>
      </c>
    </row>
    <row r="29" spans="1:2" x14ac:dyDescent="0.35">
      <c r="A29" s="7" t="s">
        <v>55</v>
      </c>
      <c r="B29" s="9">
        <v>58260.729999999996</v>
      </c>
    </row>
    <row r="30" spans="1:2" x14ac:dyDescent="0.35">
      <c r="A30" s="7" t="s">
        <v>56</v>
      </c>
      <c r="B30" s="9">
        <v>58845.83</v>
      </c>
    </row>
    <row r="31" spans="1:2" x14ac:dyDescent="0.35">
      <c r="A31" s="7" t="s">
        <v>57</v>
      </c>
      <c r="B31" s="9">
        <v>58668.120000000017</v>
      </c>
    </row>
    <row r="32" spans="1:2" x14ac:dyDescent="0.35">
      <c r="A32" s="7" t="s">
        <v>58</v>
      </c>
      <c r="B32" s="9">
        <v>59025.210000000006</v>
      </c>
    </row>
    <row r="33" spans="1:2" x14ac:dyDescent="0.35">
      <c r="A33" s="7" t="s">
        <v>59</v>
      </c>
      <c r="B33" s="9">
        <v>58653.95</v>
      </c>
    </row>
    <row r="34" spans="1:2" x14ac:dyDescent="0.35">
      <c r="A34" s="7" t="s">
        <v>60</v>
      </c>
      <c r="B34" s="9">
        <v>59136.610000000008</v>
      </c>
    </row>
    <row r="35" spans="1:2" x14ac:dyDescent="0.35">
      <c r="A35" s="7" t="s">
        <v>61</v>
      </c>
      <c r="B35" s="9">
        <v>59215.419999999984</v>
      </c>
    </row>
    <row r="36" spans="1:2" x14ac:dyDescent="0.35">
      <c r="A36" s="7" t="s">
        <v>43</v>
      </c>
      <c r="B36" s="9">
        <v>706194.8899999999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30F05-C586-4E24-8D02-4534B19936D9}">
  <dimension ref="A1:K313"/>
  <sheetViews>
    <sheetView zoomScale="143" workbookViewId="0">
      <selection activeCell="B105" sqref="B105"/>
    </sheetView>
  </sheetViews>
  <sheetFormatPr defaultRowHeight="14.5" x14ac:dyDescent="0.35"/>
  <cols>
    <col min="1" max="1" width="7" bestFit="1" customWidth="1"/>
    <col min="2" max="2" width="9.6328125" bestFit="1" customWidth="1"/>
    <col min="3" max="3" width="8.08984375" bestFit="1" customWidth="1"/>
    <col min="4" max="4" width="9.7265625" bestFit="1" customWidth="1"/>
    <col min="5" max="11" width="9.54296875" customWidth="1"/>
  </cols>
  <sheetData>
    <row r="1" spans="1:11" ht="38.5" customHeight="1" x14ac:dyDescent="0.35">
      <c r="A1" s="3" t="s">
        <v>0</v>
      </c>
      <c r="B1" s="3" t="s">
        <v>1</v>
      </c>
      <c r="C1" s="4" t="s">
        <v>2</v>
      </c>
      <c r="D1" s="3" t="s">
        <v>3</v>
      </c>
      <c r="E1" s="3" t="s">
        <v>4</v>
      </c>
      <c r="F1" s="3" t="s">
        <v>5</v>
      </c>
      <c r="G1" s="3" t="s">
        <v>6</v>
      </c>
      <c r="H1" s="5" t="s">
        <v>7</v>
      </c>
      <c r="I1" s="3" t="s">
        <v>8</v>
      </c>
      <c r="J1" s="3" t="s">
        <v>9</v>
      </c>
      <c r="K1" s="3" t="s">
        <v>10</v>
      </c>
    </row>
    <row r="2" spans="1:11" x14ac:dyDescent="0.35">
      <c r="A2" t="s">
        <v>11</v>
      </c>
      <c r="B2" t="s">
        <v>12</v>
      </c>
      <c r="C2" s="1">
        <v>45292</v>
      </c>
      <c r="D2">
        <v>74</v>
      </c>
      <c r="E2">
        <v>12</v>
      </c>
      <c r="F2">
        <v>330.42</v>
      </c>
      <c r="G2">
        <v>7</v>
      </c>
      <c r="H2" s="2">
        <v>0.58333333333333337</v>
      </c>
      <c r="I2">
        <v>4276.3100000000004</v>
      </c>
      <c r="J2">
        <v>3</v>
      </c>
      <c r="K2" s="2">
        <v>2.9500000000000002E-2</v>
      </c>
    </row>
    <row r="3" spans="1:11" x14ac:dyDescent="0.35">
      <c r="A3" t="s">
        <v>13</v>
      </c>
      <c r="B3" t="s">
        <v>12</v>
      </c>
      <c r="C3" s="1">
        <v>45292</v>
      </c>
      <c r="D3">
        <v>78</v>
      </c>
      <c r="E3">
        <v>12</v>
      </c>
      <c r="F3">
        <v>377.5</v>
      </c>
      <c r="G3">
        <v>4</v>
      </c>
      <c r="H3" s="2">
        <v>0.33333333333333331</v>
      </c>
      <c r="I3">
        <v>3880.98</v>
      </c>
      <c r="J3">
        <v>2</v>
      </c>
      <c r="K3" s="2">
        <v>4.3400000000000001E-2</v>
      </c>
    </row>
    <row r="4" spans="1:11" x14ac:dyDescent="0.35">
      <c r="A4" t="s">
        <v>14</v>
      </c>
      <c r="B4" t="s">
        <v>12</v>
      </c>
      <c r="C4" s="1">
        <v>45292</v>
      </c>
      <c r="D4">
        <v>47</v>
      </c>
      <c r="E4">
        <v>14</v>
      </c>
      <c r="F4">
        <v>418.92</v>
      </c>
      <c r="G4">
        <v>2</v>
      </c>
      <c r="H4" s="2">
        <v>0.14285714285714285</v>
      </c>
      <c r="I4">
        <v>3716</v>
      </c>
      <c r="J4">
        <v>1</v>
      </c>
      <c r="K4" s="2">
        <v>4.3899999999999995E-2</v>
      </c>
    </row>
    <row r="5" spans="1:11" x14ac:dyDescent="0.35">
      <c r="A5" t="s">
        <v>15</v>
      </c>
      <c r="B5" t="s">
        <v>12</v>
      </c>
      <c r="C5" s="1">
        <v>45292</v>
      </c>
      <c r="D5">
        <v>24</v>
      </c>
      <c r="E5">
        <v>6</v>
      </c>
      <c r="F5">
        <v>76.930000000000007</v>
      </c>
      <c r="G5">
        <v>4</v>
      </c>
      <c r="H5" s="2">
        <v>0.66666666666666663</v>
      </c>
      <c r="I5">
        <v>1552.35</v>
      </c>
      <c r="J5">
        <v>3</v>
      </c>
      <c r="K5" s="2">
        <v>3.0800000000000001E-2</v>
      </c>
    </row>
    <row r="6" spans="1:11" x14ac:dyDescent="0.35">
      <c r="A6" t="s">
        <v>16</v>
      </c>
      <c r="B6" t="s">
        <v>12</v>
      </c>
      <c r="C6" s="1">
        <v>45292</v>
      </c>
      <c r="D6">
        <v>81</v>
      </c>
      <c r="E6">
        <v>16</v>
      </c>
      <c r="F6">
        <v>516.23</v>
      </c>
      <c r="G6">
        <v>5</v>
      </c>
      <c r="H6" s="2">
        <v>0.3125</v>
      </c>
      <c r="I6">
        <v>1030.68</v>
      </c>
      <c r="J6">
        <v>2</v>
      </c>
      <c r="K6" s="2">
        <v>4.1100000000000005E-2</v>
      </c>
    </row>
    <row r="7" spans="1:11" x14ac:dyDescent="0.35">
      <c r="A7" t="s">
        <v>17</v>
      </c>
      <c r="B7" t="s">
        <v>12</v>
      </c>
      <c r="C7" s="1">
        <v>45292</v>
      </c>
      <c r="D7">
        <v>59</v>
      </c>
      <c r="E7">
        <v>5</v>
      </c>
      <c r="F7">
        <v>520.05999999999995</v>
      </c>
      <c r="G7">
        <v>3</v>
      </c>
      <c r="H7" s="2">
        <v>0.6</v>
      </c>
      <c r="I7">
        <v>3546.72</v>
      </c>
      <c r="J7">
        <v>1</v>
      </c>
      <c r="K7" s="2">
        <v>1.2699999999999999E-2</v>
      </c>
    </row>
    <row r="8" spans="1:11" x14ac:dyDescent="0.35">
      <c r="A8" t="s">
        <v>18</v>
      </c>
      <c r="B8" t="s">
        <v>12</v>
      </c>
      <c r="C8" s="1">
        <v>45292</v>
      </c>
      <c r="D8">
        <v>68</v>
      </c>
      <c r="E8">
        <v>19</v>
      </c>
      <c r="F8">
        <v>290.39</v>
      </c>
      <c r="G8">
        <v>3</v>
      </c>
      <c r="H8" s="2">
        <v>0.15789473684210525</v>
      </c>
      <c r="I8">
        <v>2472.2399999999998</v>
      </c>
      <c r="J8">
        <v>3</v>
      </c>
      <c r="K8" s="2">
        <v>9.5399999999999985E-2</v>
      </c>
    </row>
    <row r="9" spans="1:11" x14ac:dyDescent="0.35">
      <c r="A9" t="s">
        <v>19</v>
      </c>
      <c r="B9" t="s">
        <v>12</v>
      </c>
      <c r="C9" s="1">
        <v>45292</v>
      </c>
      <c r="D9">
        <v>60</v>
      </c>
      <c r="E9">
        <v>7</v>
      </c>
      <c r="F9">
        <v>251.7</v>
      </c>
      <c r="G9">
        <v>5</v>
      </c>
      <c r="H9" s="2">
        <v>0.7142857142857143</v>
      </c>
      <c r="I9">
        <v>3956.69</v>
      </c>
      <c r="J9">
        <v>2</v>
      </c>
      <c r="K9" s="2">
        <v>4.1100000000000005E-2</v>
      </c>
    </row>
    <row r="10" spans="1:11" x14ac:dyDescent="0.35">
      <c r="A10" t="s">
        <v>20</v>
      </c>
      <c r="B10" t="s">
        <v>12</v>
      </c>
      <c r="C10" s="1">
        <v>45292</v>
      </c>
      <c r="D10">
        <v>34</v>
      </c>
      <c r="E10">
        <v>21</v>
      </c>
      <c r="F10">
        <v>362.62</v>
      </c>
      <c r="G10">
        <v>9</v>
      </c>
      <c r="H10" s="2">
        <v>0.42857142857142855</v>
      </c>
      <c r="I10">
        <v>1140.08</v>
      </c>
      <c r="J10">
        <v>1</v>
      </c>
      <c r="K10" s="2">
        <v>5.4600000000000003E-2</v>
      </c>
    </row>
    <row r="11" spans="1:11" x14ac:dyDescent="0.35">
      <c r="A11" t="s">
        <v>21</v>
      </c>
      <c r="B11" t="s">
        <v>12</v>
      </c>
      <c r="C11" s="1">
        <v>45292</v>
      </c>
      <c r="D11">
        <v>59</v>
      </c>
      <c r="E11">
        <v>13</v>
      </c>
      <c r="F11">
        <v>307.49</v>
      </c>
      <c r="G11">
        <v>10</v>
      </c>
      <c r="H11" s="2">
        <v>0.76923076923076927</v>
      </c>
      <c r="I11">
        <v>979.09</v>
      </c>
      <c r="J11">
        <v>3</v>
      </c>
      <c r="K11" s="2">
        <v>3.27E-2</v>
      </c>
    </row>
    <row r="12" spans="1:11" x14ac:dyDescent="0.35">
      <c r="A12" t="s">
        <v>22</v>
      </c>
      <c r="B12" t="s">
        <v>12</v>
      </c>
      <c r="C12" s="1">
        <v>45292</v>
      </c>
      <c r="D12">
        <v>18</v>
      </c>
      <c r="E12">
        <v>8</v>
      </c>
      <c r="F12">
        <v>206.81</v>
      </c>
      <c r="G12">
        <v>7</v>
      </c>
      <c r="H12" s="2">
        <v>0.875</v>
      </c>
      <c r="I12">
        <v>720.56</v>
      </c>
      <c r="J12">
        <v>2</v>
      </c>
      <c r="K12" s="2">
        <v>7.8899999999999998E-2</v>
      </c>
    </row>
    <row r="13" spans="1:11" x14ac:dyDescent="0.35">
      <c r="A13" t="s">
        <v>23</v>
      </c>
      <c r="B13" t="s">
        <v>12</v>
      </c>
      <c r="C13" s="1">
        <v>45292</v>
      </c>
      <c r="D13">
        <v>36</v>
      </c>
      <c r="E13">
        <v>6</v>
      </c>
      <c r="F13">
        <v>547.6</v>
      </c>
      <c r="G13">
        <v>5</v>
      </c>
      <c r="H13" s="2">
        <v>0.83333333333333337</v>
      </c>
      <c r="I13">
        <v>3463.18</v>
      </c>
      <c r="J13">
        <v>1</v>
      </c>
      <c r="K13" s="2">
        <v>3.7599999999999995E-2</v>
      </c>
    </row>
    <row r="14" spans="1:11" x14ac:dyDescent="0.35">
      <c r="A14" t="s">
        <v>24</v>
      </c>
      <c r="B14" t="s">
        <v>12</v>
      </c>
      <c r="C14" s="1">
        <v>45292</v>
      </c>
      <c r="D14">
        <v>67</v>
      </c>
      <c r="E14">
        <v>17</v>
      </c>
      <c r="F14">
        <v>552.54999999999995</v>
      </c>
      <c r="G14">
        <v>2</v>
      </c>
      <c r="H14" s="2">
        <v>0.11764705882352941</v>
      </c>
      <c r="I14">
        <v>330.12</v>
      </c>
      <c r="J14">
        <v>1</v>
      </c>
      <c r="K14" s="2">
        <v>3.7200000000000004E-2</v>
      </c>
    </row>
    <row r="15" spans="1:11" x14ac:dyDescent="0.35">
      <c r="A15" t="s">
        <v>25</v>
      </c>
      <c r="B15" t="s">
        <v>12</v>
      </c>
      <c r="C15" s="1">
        <v>45292</v>
      </c>
      <c r="D15">
        <v>36</v>
      </c>
      <c r="E15">
        <v>9</v>
      </c>
      <c r="F15">
        <v>216.03</v>
      </c>
      <c r="G15">
        <v>2</v>
      </c>
      <c r="H15" s="2">
        <v>0.22222222222222221</v>
      </c>
      <c r="I15">
        <v>4072.07</v>
      </c>
      <c r="J15">
        <v>3</v>
      </c>
      <c r="K15" s="2">
        <v>4.1200000000000001E-2</v>
      </c>
    </row>
    <row r="16" spans="1:11" x14ac:dyDescent="0.35">
      <c r="A16" t="s">
        <v>26</v>
      </c>
      <c r="B16" t="s">
        <v>12</v>
      </c>
      <c r="C16" s="1">
        <v>45292</v>
      </c>
      <c r="D16">
        <v>54</v>
      </c>
      <c r="E16">
        <v>10</v>
      </c>
      <c r="F16">
        <v>208.23</v>
      </c>
      <c r="G16">
        <v>3</v>
      </c>
      <c r="H16" s="2">
        <v>0.3</v>
      </c>
      <c r="I16">
        <v>645.83000000000004</v>
      </c>
      <c r="J16">
        <v>2</v>
      </c>
      <c r="K16" s="2">
        <v>2.7999999999999997E-2</v>
      </c>
    </row>
    <row r="17" spans="1:11" x14ac:dyDescent="0.35">
      <c r="A17" t="s">
        <v>27</v>
      </c>
      <c r="B17" t="s">
        <v>12</v>
      </c>
      <c r="C17" s="1">
        <v>45292</v>
      </c>
      <c r="D17">
        <v>82</v>
      </c>
      <c r="E17">
        <v>4</v>
      </c>
      <c r="F17">
        <v>180.06</v>
      </c>
      <c r="G17">
        <v>4</v>
      </c>
      <c r="H17" s="2">
        <v>1</v>
      </c>
      <c r="I17">
        <v>1207.17</v>
      </c>
      <c r="J17">
        <v>1</v>
      </c>
      <c r="K17" s="2">
        <v>8.4199999999999997E-2</v>
      </c>
    </row>
    <row r="18" spans="1:11" x14ac:dyDescent="0.35">
      <c r="A18" t="s">
        <v>28</v>
      </c>
      <c r="B18" t="s">
        <v>12</v>
      </c>
      <c r="C18" s="1">
        <v>45292</v>
      </c>
      <c r="D18">
        <v>81</v>
      </c>
      <c r="E18">
        <v>7</v>
      </c>
      <c r="F18">
        <v>82.43</v>
      </c>
      <c r="G18">
        <v>7</v>
      </c>
      <c r="H18" s="2">
        <v>1</v>
      </c>
      <c r="I18">
        <v>3463.96</v>
      </c>
      <c r="J18">
        <v>3</v>
      </c>
      <c r="K18" s="2">
        <v>8.4900000000000003E-2</v>
      </c>
    </row>
    <row r="19" spans="1:11" x14ac:dyDescent="0.35">
      <c r="A19" t="s">
        <v>29</v>
      </c>
      <c r="B19" t="s">
        <v>12</v>
      </c>
      <c r="C19" s="1">
        <v>45292</v>
      </c>
      <c r="D19">
        <v>31</v>
      </c>
      <c r="E19">
        <v>17</v>
      </c>
      <c r="F19">
        <v>476.95</v>
      </c>
      <c r="G19">
        <v>7</v>
      </c>
      <c r="H19" s="2">
        <v>0.41176470588235292</v>
      </c>
      <c r="I19">
        <v>3945.43</v>
      </c>
      <c r="J19">
        <v>2</v>
      </c>
      <c r="K19" s="2">
        <v>3.6000000000000004E-2</v>
      </c>
    </row>
    <row r="20" spans="1:11" x14ac:dyDescent="0.35">
      <c r="A20" t="s">
        <v>30</v>
      </c>
      <c r="B20" t="s">
        <v>12</v>
      </c>
      <c r="C20" s="1">
        <v>45292</v>
      </c>
      <c r="D20">
        <v>92</v>
      </c>
      <c r="E20">
        <v>20</v>
      </c>
      <c r="F20">
        <v>161.41999999999999</v>
      </c>
      <c r="G20">
        <v>4</v>
      </c>
      <c r="H20" s="2">
        <v>0.2</v>
      </c>
      <c r="I20">
        <v>425.41</v>
      </c>
      <c r="J20">
        <v>1</v>
      </c>
      <c r="K20" s="2">
        <v>0.1045</v>
      </c>
    </row>
    <row r="21" spans="1:11" x14ac:dyDescent="0.35">
      <c r="A21" t="s">
        <v>31</v>
      </c>
      <c r="B21" t="s">
        <v>12</v>
      </c>
      <c r="C21" s="1">
        <v>45292</v>
      </c>
      <c r="D21">
        <v>73</v>
      </c>
      <c r="E21">
        <v>12</v>
      </c>
      <c r="F21">
        <v>507.45</v>
      </c>
      <c r="G21">
        <v>0</v>
      </c>
      <c r="H21" s="2">
        <v>0</v>
      </c>
      <c r="I21">
        <v>1123.8399999999999</v>
      </c>
      <c r="J21">
        <v>3</v>
      </c>
      <c r="K21" s="2">
        <v>8.9999999999999998E-4</v>
      </c>
    </row>
    <row r="22" spans="1:11" x14ac:dyDescent="0.35">
      <c r="A22" t="s">
        <v>32</v>
      </c>
      <c r="B22" t="s">
        <v>12</v>
      </c>
      <c r="C22" s="1">
        <v>45292</v>
      </c>
      <c r="D22">
        <v>25</v>
      </c>
      <c r="E22">
        <v>14</v>
      </c>
      <c r="F22">
        <v>279.95</v>
      </c>
      <c r="G22">
        <v>2</v>
      </c>
      <c r="H22" s="2">
        <v>0.14285714285714285</v>
      </c>
      <c r="I22">
        <v>1432.23</v>
      </c>
      <c r="J22">
        <v>2</v>
      </c>
      <c r="K22" s="2">
        <v>5.1699999999999996E-2</v>
      </c>
    </row>
    <row r="23" spans="1:11" x14ac:dyDescent="0.35">
      <c r="A23" t="s">
        <v>33</v>
      </c>
      <c r="B23" t="s">
        <v>12</v>
      </c>
      <c r="C23" s="1">
        <v>45292</v>
      </c>
      <c r="D23">
        <v>96</v>
      </c>
      <c r="E23">
        <v>6</v>
      </c>
      <c r="F23">
        <v>532.83000000000004</v>
      </c>
      <c r="G23">
        <v>1</v>
      </c>
      <c r="H23" s="2">
        <v>0.16666666666666666</v>
      </c>
      <c r="I23">
        <v>3173.13</v>
      </c>
      <c r="J23">
        <v>1</v>
      </c>
      <c r="K23" s="2">
        <v>2.8300000000000002E-2</v>
      </c>
    </row>
    <row r="24" spans="1:11" x14ac:dyDescent="0.35">
      <c r="A24" t="s">
        <v>34</v>
      </c>
      <c r="B24" t="s">
        <v>12</v>
      </c>
      <c r="C24" s="1">
        <v>45292</v>
      </c>
      <c r="D24">
        <v>63</v>
      </c>
      <c r="E24">
        <v>8</v>
      </c>
      <c r="F24">
        <v>170.49</v>
      </c>
      <c r="G24">
        <v>7</v>
      </c>
      <c r="H24" s="2">
        <v>0.875</v>
      </c>
      <c r="I24">
        <v>526.12</v>
      </c>
      <c r="J24">
        <v>3</v>
      </c>
      <c r="K24" s="2">
        <v>8.3499999999999991E-2</v>
      </c>
    </row>
    <row r="25" spans="1:11" x14ac:dyDescent="0.35">
      <c r="A25" t="s">
        <v>35</v>
      </c>
      <c r="B25" t="s">
        <v>36</v>
      </c>
      <c r="C25" s="1">
        <v>45292</v>
      </c>
      <c r="D25">
        <v>92</v>
      </c>
      <c r="E25">
        <v>13</v>
      </c>
      <c r="F25">
        <v>422.39</v>
      </c>
      <c r="G25">
        <v>1</v>
      </c>
      <c r="H25" s="2">
        <v>7.6923076923076927E-2</v>
      </c>
      <c r="I25">
        <v>2695.84</v>
      </c>
      <c r="J25">
        <v>2</v>
      </c>
      <c r="K25" s="2">
        <v>2.46E-2</v>
      </c>
    </row>
    <row r="26" spans="1:11" x14ac:dyDescent="0.35">
      <c r="A26" t="s">
        <v>37</v>
      </c>
      <c r="B26" t="s">
        <v>36</v>
      </c>
      <c r="C26" s="1">
        <v>45292</v>
      </c>
      <c r="D26">
        <v>38</v>
      </c>
      <c r="E26">
        <v>10</v>
      </c>
      <c r="F26">
        <v>514.25</v>
      </c>
      <c r="G26">
        <v>4</v>
      </c>
      <c r="H26" s="2">
        <v>0.4</v>
      </c>
      <c r="I26">
        <v>243.62</v>
      </c>
      <c r="J26">
        <v>1</v>
      </c>
      <c r="K26" s="2">
        <v>6.4399999999999999E-2</v>
      </c>
    </row>
    <row r="27" spans="1:11" x14ac:dyDescent="0.35">
      <c r="A27" t="s">
        <v>38</v>
      </c>
      <c r="B27" t="s">
        <v>36</v>
      </c>
      <c r="C27" s="1">
        <v>45292</v>
      </c>
      <c r="D27">
        <v>43</v>
      </c>
      <c r="E27">
        <v>15</v>
      </c>
      <c r="F27">
        <v>363.48</v>
      </c>
      <c r="G27">
        <v>7</v>
      </c>
      <c r="H27" s="2">
        <v>0.46666666666666667</v>
      </c>
      <c r="I27">
        <v>3843.52</v>
      </c>
      <c r="J27">
        <v>3</v>
      </c>
      <c r="K27" s="2">
        <v>8.3400000000000002E-2</v>
      </c>
    </row>
    <row r="28" spans="1:11" x14ac:dyDescent="0.35">
      <c r="A28" t="s">
        <v>11</v>
      </c>
      <c r="B28" t="s">
        <v>36</v>
      </c>
      <c r="C28" s="1">
        <v>45323</v>
      </c>
      <c r="D28">
        <v>62</v>
      </c>
      <c r="E28">
        <v>15</v>
      </c>
      <c r="F28">
        <v>361.38</v>
      </c>
      <c r="G28">
        <v>6</v>
      </c>
      <c r="H28" s="2">
        <v>0.4</v>
      </c>
      <c r="I28">
        <v>4195.1400000000003</v>
      </c>
      <c r="J28">
        <v>2</v>
      </c>
      <c r="K28" s="2">
        <v>2.75E-2</v>
      </c>
    </row>
    <row r="29" spans="1:11" x14ac:dyDescent="0.35">
      <c r="A29" t="s">
        <v>13</v>
      </c>
      <c r="B29" t="s">
        <v>36</v>
      </c>
      <c r="C29" s="1">
        <v>45323</v>
      </c>
      <c r="D29">
        <v>81</v>
      </c>
      <c r="E29">
        <v>14</v>
      </c>
      <c r="F29">
        <v>362.96</v>
      </c>
      <c r="G29">
        <v>5</v>
      </c>
      <c r="H29" s="2">
        <v>0.35714285714285715</v>
      </c>
      <c r="I29">
        <v>3620.19</v>
      </c>
      <c r="J29">
        <v>1</v>
      </c>
      <c r="K29" s="2">
        <v>4.0800000000000003E-2</v>
      </c>
    </row>
    <row r="30" spans="1:11" x14ac:dyDescent="0.35">
      <c r="A30" t="s">
        <v>14</v>
      </c>
      <c r="B30" t="s">
        <v>36</v>
      </c>
      <c r="C30" s="1">
        <v>45323</v>
      </c>
      <c r="D30">
        <v>52</v>
      </c>
      <c r="E30">
        <v>14</v>
      </c>
      <c r="F30">
        <v>382.59</v>
      </c>
      <c r="G30">
        <v>3</v>
      </c>
      <c r="H30" s="2">
        <v>0.21428571428571427</v>
      </c>
      <c r="I30">
        <v>3394.39</v>
      </c>
      <c r="J30">
        <v>3</v>
      </c>
      <c r="K30" s="2">
        <v>4.5599999999999995E-2</v>
      </c>
    </row>
    <row r="31" spans="1:11" x14ac:dyDescent="0.35">
      <c r="A31" t="s">
        <v>15</v>
      </c>
      <c r="B31" t="s">
        <v>36</v>
      </c>
      <c r="C31" s="1">
        <v>45323</v>
      </c>
      <c r="D31">
        <v>22</v>
      </c>
      <c r="E31">
        <v>7</v>
      </c>
      <c r="F31">
        <v>79.459999999999994</v>
      </c>
      <c r="G31">
        <v>3</v>
      </c>
      <c r="H31" s="2">
        <v>0.42857142857142855</v>
      </c>
      <c r="I31">
        <v>1638.74</v>
      </c>
      <c r="J31">
        <v>2</v>
      </c>
      <c r="K31" s="2">
        <v>3.04E-2</v>
      </c>
    </row>
    <row r="32" spans="1:11" x14ac:dyDescent="0.35">
      <c r="A32" t="s">
        <v>16</v>
      </c>
      <c r="B32" t="s">
        <v>36</v>
      </c>
      <c r="C32" s="1">
        <v>45323</v>
      </c>
      <c r="D32">
        <v>93</v>
      </c>
      <c r="E32">
        <v>11</v>
      </c>
      <c r="F32">
        <v>446.3</v>
      </c>
      <c r="G32">
        <v>5</v>
      </c>
      <c r="H32" s="2">
        <v>0.45454545454545453</v>
      </c>
      <c r="I32">
        <v>1057.1400000000001</v>
      </c>
      <c r="J32">
        <v>1</v>
      </c>
      <c r="K32" s="2">
        <v>3.6900000000000002E-2</v>
      </c>
    </row>
    <row r="33" spans="1:11" x14ac:dyDescent="0.35">
      <c r="A33" t="s">
        <v>17</v>
      </c>
      <c r="B33" t="s">
        <v>36</v>
      </c>
      <c r="C33" s="1">
        <v>45323</v>
      </c>
      <c r="D33">
        <v>65</v>
      </c>
      <c r="E33">
        <v>7</v>
      </c>
      <c r="F33">
        <v>461.67</v>
      </c>
      <c r="G33">
        <v>2</v>
      </c>
      <c r="H33" s="2">
        <v>0.2857142857142857</v>
      </c>
      <c r="I33">
        <v>3486.23</v>
      </c>
      <c r="J33">
        <v>3</v>
      </c>
      <c r="K33" s="2">
        <v>1.1200000000000002E-2</v>
      </c>
    </row>
    <row r="34" spans="1:11" x14ac:dyDescent="0.35">
      <c r="A34" t="s">
        <v>18</v>
      </c>
      <c r="B34" t="s">
        <v>36</v>
      </c>
      <c r="C34" s="1">
        <v>45323</v>
      </c>
      <c r="D34">
        <v>90</v>
      </c>
      <c r="E34">
        <v>20</v>
      </c>
      <c r="F34">
        <v>328.63</v>
      </c>
      <c r="G34">
        <v>3</v>
      </c>
      <c r="H34" s="2">
        <v>0.15</v>
      </c>
      <c r="I34">
        <v>2662.44</v>
      </c>
      <c r="J34">
        <v>2</v>
      </c>
      <c r="K34" s="2">
        <v>0.10640000000000001</v>
      </c>
    </row>
    <row r="35" spans="1:11" x14ac:dyDescent="0.35">
      <c r="A35" t="s">
        <v>19</v>
      </c>
      <c r="B35" t="s">
        <v>36</v>
      </c>
      <c r="C35" s="1">
        <v>45323</v>
      </c>
      <c r="D35">
        <v>48</v>
      </c>
      <c r="E35">
        <v>7</v>
      </c>
      <c r="F35">
        <v>247.66</v>
      </c>
      <c r="G35">
        <v>6</v>
      </c>
      <c r="H35" s="2">
        <v>0.8571428571428571</v>
      </c>
      <c r="I35">
        <v>4335.84</v>
      </c>
      <c r="J35">
        <v>1</v>
      </c>
      <c r="K35" s="2">
        <v>3.9900000000000005E-2</v>
      </c>
    </row>
    <row r="36" spans="1:11" x14ac:dyDescent="0.35">
      <c r="A36" t="s">
        <v>20</v>
      </c>
      <c r="B36" t="s">
        <v>36</v>
      </c>
      <c r="C36" s="1">
        <v>45323</v>
      </c>
      <c r="D36">
        <v>37</v>
      </c>
      <c r="E36">
        <v>17</v>
      </c>
      <c r="F36">
        <v>378.61</v>
      </c>
      <c r="G36">
        <v>10</v>
      </c>
      <c r="H36" s="2">
        <v>0.58823529411764708</v>
      </c>
      <c r="I36">
        <v>1295.07</v>
      </c>
      <c r="J36">
        <v>3</v>
      </c>
      <c r="K36" s="2">
        <v>5.6299999999999996E-2</v>
      </c>
    </row>
    <row r="37" spans="1:11" x14ac:dyDescent="0.35">
      <c r="A37" t="s">
        <v>21</v>
      </c>
      <c r="B37" t="s">
        <v>36</v>
      </c>
      <c r="C37" s="1">
        <v>45323</v>
      </c>
      <c r="D37">
        <v>68</v>
      </c>
      <c r="E37">
        <v>16</v>
      </c>
      <c r="F37">
        <v>299.58999999999997</v>
      </c>
      <c r="G37">
        <v>9</v>
      </c>
      <c r="H37" s="2">
        <v>0.5625</v>
      </c>
      <c r="I37">
        <v>979.47</v>
      </c>
      <c r="J37">
        <v>2</v>
      </c>
      <c r="K37" s="2">
        <v>3.6900000000000002E-2</v>
      </c>
    </row>
    <row r="38" spans="1:11" x14ac:dyDescent="0.35">
      <c r="A38" t="s">
        <v>22</v>
      </c>
      <c r="B38" t="s">
        <v>36</v>
      </c>
      <c r="C38" s="1">
        <v>45323</v>
      </c>
      <c r="D38">
        <v>20</v>
      </c>
      <c r="E38">
        <v>9</v>
      </c>
      <c r="F38">
        <v>202.4</v>
      </c>
      <c r="G38">
        <v>7</v>
      </c>
      <c r="H38" s="2">
        <v>0.77777777777777779</v>
      </c>
      <c r="I38">
        <v>732.99</v>
      </c>
      <c r="J38">
        <v>1</v>
      </c>
      <c r="K38" s="2">
        <v>7.9000000000000001E-2</v>
      </c>
    </row>
    <row r="39" spans="1:11" x14ac:dyDescent="0.35">
      <c r="A39" t="s">
        <v>23</v>
      </c>
      <c r="B39" t="s">
        <v>36</v>
      </c>
      <c r="C39" s="1">
        <v>45323</v>
      </c>
      <c r="D39">
        <v>35</v>
      </c>
      <c r="E39">
        <v>6</v>
      </c>
      <c r="F39">
        <v>568.38</v>
      </c>
      <c r="G39">
        <v>6</v>
      </c>
      <c r="H39" s="2">
        <v>1</v>
      </c>
      <c r="I39">
        <v>3949.69</v>
      </c>
      <c r="J39">
        <v>1</v>
      </c>
      <c r="K39" s="2">
        <v>3.7499999999999999E-2</v>
      </c>
    </row>
    <row r="40" spans="1:11" x14ac:dyDescent="0.35">
      <c r="A40" t="s">
        <v>24</v>
      </c>
      <c r="B40" t="s">
        <v>36</v>
      </c>
      <c r="C40" s="1">
        <v>45323</v>
      </c>
      <c r="D40">
        <v>68</v>
      </c>
      <c r="E40">
        <v>21</v>
      </c>
      <c r="F40">
        <v>553.08000000000004</v>
      </c>
      <c r="G40">
        <v>3</v>
      </c>
      <c r="H40" s="2">
        <v>0.14285714285714285</v>
      </c>
      <c r="I40">
        <v>360.7</v>
      </c>
      <c r="J40">
        <v>3</v>
      </c>
      <c r="K40" s="2">
        <v>3.3399999999999999E-2</v>
      </c>
    </row>
    <row r="41" spans="1:11" x14ac:dyDescent="0.35">
      <c r="A41" t="s">
        <v>25</v>
      </c>
      <c r="B41" t="s">
        <v>36</v>
      </c>
      <c r="C41" s="1">
        <v>45323</v>
      </c>
      <c r="D41">
        <v>30</v>
      </c>
      <c r="E41">
        <v>8</v>
      </c>
      <c r="F41">
        <v>223.22</v>
      </c>
      <c r="G41">
        <v>2</v>
      </c>
      <c r="H41" s="2">
        <v>0.25</v>
      </c>
      <c r="I41">
        <v>3595.12</v>
      </c>
      <c r="J41">
        <v>2</v>
      </c>
      <c r="K41" s="2">
        <v>4.3400000000000001E-2</v>
      </c>
    </row>
    <row r="42" spans="1:11" x14ac:dyDescent="0.35">
      <c r="A42" t="s">
        <v>26</v>
      </c>
      <c r="B42" t="s">
        <v>36</v>
      </c>
      <c r="C42" s="1">
        <v>45323</v>
      </c>
      <c r="D42">
        <v>69</v>
      </c>
      <c r="E42">
        <v>8</v>
      </c>
      <c r="F42">
        <v>199.93</v>
      </c>
      <c r="G42">
        <v>2</v>
      </c>
      <c r="H42" s="2">
        <v>0.25</v>
      </c>
      <c r="I42">
        <v>610.66</v>
      </c>
      <c r="J42">
        <v>1</v>
      </c>
      <c r="K42" s="2">
        <v>2.8199999999999999E-2</v>
      </c>
    </row>
    <row r="43" spans="1:11" x14ac:dyDescent="0.35">
      <c r="A43" t="s">
        <v>27</v>
      </c>
      <c r="B43" t="s">
        <v>36</v>
      </c>
      <c r="C43" s="1">
        <v>45323</v>
      </c>
      <c r="D43">
        <v>92</v>
      </c>
      <c r="E43">
        <v>6</v>
      </c>
      <c r="F43">
        <v>180.46</v>
      </c>
      <c r="G43">
        <v>5</v>
      </c>
      <c r="H43" s="2">
        <v>0.83333333333333337</v>
      </c>
      <c r="I43">
        <v>1173.27</v>
      </c>
      <c r="J43">
        <v>3</v>
      </c>
      <c r="K43" s="2">
        <v>7.5300000000000006E-2</v>
      </c>
    </row>
    <row r="44" spans="1:11" x14ac:dyDescent="0.35">
      <c r="A44" t="s">
        <v>28</v>
      </c>
      <c r="B44" t="s">
        <v>36</v>
      </c>
      <c r="C44" s="1">
        <v>45323</v>
      </c>
      <c r="D44">
        <v>92</v>
      </c>
      <c r="E44">
        <v>7</v>
      </c>
      <c r="F44">
        <v>80.12</v>
      </c>
      <c r="G44">
        <v>6</v>
      </c>
      <c r="H44" s="2">
        <v>0.8571428571428571</v>
      </c>
      <c r="I44">
        <v>3794.02</v>
      </c>
      <c r="J44">
        <v>2</v>
      </c>
      <c r="K44" s="2">
        <v>9.5000000000000001E-2</v>
      </c>
    </row>
    <row r="45" spans="1:11" x14ac:dyDescent="0.35">
      <c r="A45" t="s">
        <v>29</v>
      </c>
      <c r="B45" t="s">
        <v>36</v>
      </c>
      <c r="C45" s="1">
        <v>45323</v>
      </c>
      <c r="D45">
        <v>21</v>
      </c>
      <c r="E45">
        <v>14</v>
      </c>
      <c r="F45">
        <v>563.79</v>
      </c>
      <c r="G45">
        <v>8</v>
      </c>
      <c r="H45" s="2">
        <v>0.5714285714285714</v>
      </c>
      <c r="I45">
        <v>3616.21</v>
      </c>
      <c r="J45">
        <v>1</v>
      </c>
      <c r="K45" s="2">
        <v>3.61E-2</v>
      </c>
    </row>
    <row r="46" spans="1:11" x14ac:dyDescent="0.35">
      <c r="A46" t="s">
        <v>30</v>
      </c>
      <c r="B46" t="s">
        <v>36</v>
      </c>
      <c r="C46" s="1">
        <v>45323</v>
      </c>
      <c r="D46">
        <v>83</v>
      </c>
      <c r="E46">
        <v>20</v>
      </c>
      <c r="F46">
        <v>193.39</v>
      </c>
      <c r="G46">
        <v>5</v>
      </c>
      <c r="H46" s="2">
        <v>0.25</v>
      </c>
      <c r="I46">
        <v>402.53</v>
      </c>
      <c r="J46">
        <v>3</v>
      </c>
      <c r="K46" s="2">
        <v>0.1013</v>
      </c>
    </row>
    <row r="47" spans="1:11" x14ac:dyDescent="0.35">
      <c r="A47" t="s">
        <v>31</v>
      </c>
      <c r="B47" t="s">
        <v>36</v>
      </c>
      <c r="C47" s="1">
        <v>45323</v>
      </c>
      <c r="D47">
        <v>57</v>
      </c>
      <c r="E47">
        <v>11</v>
      </c>
      <c r="F47">
        <v>454.77</v>
      </c>
      <c r="G47">
        <v>1</v>
      </c>
      <c r="H47" s="2">
        <v>9.0909090909090912E-2</v>
      </c>
      <c r="I47">
        <v>1152.4100000000001</v>
      </c>
      <c r="J47">
        <v>2</v>
      </c>
      <c r="K47" s="2">
        <v>1E-3</v>
      </c>
    </row>
    <row r="48" spans="1:11" x14ac:dyDescent="0.35">
      <c r="A48" t="s">
        <v>32</v>
      </c>
      <c r="B48" t="s">
        <v>36</v>
      </c>
      <c r="C48" s="1">
        <v>45323</v>
      </c>
      <c r="D48">
        <v>22</v>
      </c>
      <c r="E48">
        <v>17</v>
      </c>
      <c r="F48">
        <v>291.97000000000003</v>
      </c>
      <c r="G48">
        <v>1</v>
      </c>
      <c r="H48" s="2">
        <v>5.8823529411764705E-2</v>
      </c>
      <c r="I48">
        <v>1703.6</v>
      </c>
      <c r="J48">
        <v>1</v>
      </c>
      <c r="K48" s="2">
        <v>5.21E-2</v>
      </c>
    </row>
    <row r="49" spans="1:11" x14ac:dyDescent="0.35">
      <c r="A49" t="s">
        <v>33</v>
      </c>
      <c r="B49" t="s">
        <v>36</v>
      </c>
      <c r="C49" s="1">
        <v>45323</v>
      </c>
      <c r="D49">
        <v>78</v>
      </c>
      <c r="E49">
        <v>5</v>
      </c>
      <c r="F49">
        <v>553.86</v>
      </c>
      <c r="G49">
        <v>1</v>
      </c>
      <c r="H49" s="2">
        <v>0.2</v>
      </c>
      <c r="I49">
        <v>3503.57</v>
      </c>
      <c r="J49">
        <v>3</v>
      </c>
      <c r="K49" s="2">
        <v>3.1300000000000001E-2</v>
      </c>
    </row>
    <row r="50" spans="1:11" x14ac:dyDescent="0.35">
      <c r="A50" t="s">
        <v>34</v>
      </c>
      <c r="B50" t="s">
        <v>36</v>
      </c>
      <c r="C50" s="1">
        <v>45323</v>
      </c>
      <c r="D50">
        <v>68</v>
      </c>
      <c r="E50">
        <v>7</v>
      </c>
      <c r="F50">
        <v>171.76</v>
      </c>
      <c r="G50">
        <v>7</v>
      </c>
      <c r="H50" s="2">
        <v>1</v>
      </c>
      <c r="I50">
        <v>548.36</v>
      </c>
      <c r="J50">
        <v>2</v>
      </c>
      <c r="K50" s="2">
        <v>8.2500000000000004E-2</v>
      </c>
    </row>
    <row r="51" spans="1:11" x14ac:dyDescent="0.35">
      <c r="A51" t="s">
        <v>35</v>
      </c>
      <c r="B51" t="s">
        <v>36</v>
      </c>
      <c r="C51" s="1">
        <v>45323</v>
      </c>
      <c r="D51">
        <v>83</v>
      </c>
      <c r="E51">
        <v>16</v>
      </c>
      <c r="F51">
        <v>382.21</v>
      </c>
      <c r="G51">
        <v>1</v>
      </c>
      <c r="H51" s="2">
        <v>6.25E-2</v>
      </c>
      <c r="I51">
        <v>3017.43</v>
      </c>
      <c r="J51">
        <v>3</v>
      </c>
      <c r="K51" s="2">
        <v>2.4199999999999999E-2</v>
      </c>
    </row>
    <row r="52" spans="1:11" x14ac:dyDescent="0.35">
      <c r="A52" t="s">
        <v>37</v>
      </c>
      <c r="B52" t="s">
        <v>36</v>
      </c>
      <c r="C52" s="1">
        <v>45323</v>
      </c>
      <c r="D52">
        <v>31</v>
      </c>
      <c r="E52">
        <v>11</v>
      </c>
      <c r="F52">
        <v>562.73</v>
      </c>
      <c r="G52">
        <v>4</v>
      </c>
      <c r="H52" s="2">
        <v>0.36363636363636365</v>
      </c>
      <c r="I52">
        <v>221.94</v>
      </c>
      <c r="J52">
        <v>2</v>
      </c>
      <c r="K52" s="2">
        <v>6.7400000000000002E-2</v>
      </c>
    </row>
    <row r="53" spans="1:11" x14ac:dyDescent="0.35">
      <c r="A53" t="s">
        <v>38</v>
      </c>
      <c r="B53" t="s">
        <v>36</v>
      </c>
      <c r="C53" s="1">
        <v>45323</v>
      </c>
      <c r="D53">
        <v>34</v>
      </c>
      <c r="E53">
        <v>17</v>
      </c>
      <c r="F53">
        <v>380.37</v>
      </c>
      <c r="G53">
        <v>7</v>
      </c>
      <c r="H53" s="2">
        <v>0.41176470588235292</v>
      </c>
      <c r="I53">
        <v>4183.2700000000004</v>
      </c>
      <c r="J53">
        <v>1</v>
      </c>
      <c r="K53" s="2">
        <v>8.8699999999999987E-2</v>
      </c>
    </row>
    <row r="54" spans="1:11" x14ac:dyDescent="0.35">
      <c r="A54" t="s">
        <v>11</v>
      </c>
      <c r="B54" t="s">
        <v>36</v>
      </c>
      <c r="C54" s="1">
        <v>45352</v>
      </c>
      <c r="D54">
        <v>55</v>
      </c>
      <c r="E54">
        <v>17</v>
      </c>
      <c r="F54">
        <v>315.62</v>
      </c>
      <c r="G54">
        <v>5</v>
      </c>
      <c r="H54" s="2">
        <v>0.29411764705882354</v>
      </c>
      <c r="I54">
        <v>3890.73</v>
      </c>
      <c r="J54">
        <v>3</v>
      </c>
      <c r="K54" s="2">
        <v>2.8799999999999999E-2</v>
      </c>
    </row>
    <row r="55" spans="1:11" x14ac:dyDescent="0.35">
      <c r="A55" t="s">
        <v>13</v>
      </c>
      <c r="B55" t="s">
        <v>36</v>
      </c>
      <c r="C55" s="1">
        <v>45352</v>
      </c>
      <c r="D55">
        <v>91</v>
      </c>
      <c r="E55">
        <v>10</v>
      </c>
      <c r="F55">
        <v>361.58</v>
      </c>
      <c r="G55">
        <v>4</v>
      </c>
      <c r="H55" s="2">
        <v>0.4</v>
      </c>
      <c r="I55">
        <v>3674.37</v>
      </c>
      <c r="J55">
        <v>2</v>
      </c>
      <c r="K55" s="2">
        <v>4.0800000000000003E-2</v>
      </c>
    </row>
    <row r="56" spans="1:11" x14ac:dyDescent="0.35">
      <c r="A56" t="s">
        <v>14</v>
      </c>
      <c r="B56" t="s">
        <v>36</v>
      </c>
      <c r="C56" s="1">
        <v>45352</v>
      </c>
      <c r="D56">
        <v>59</v>
      </c>
      <c r="E56">
        <v>13</v>
      </c>
      <c r="F56">
        <v>402.9</v>
      </c>
      <c r="G56">
        <v>2</v>
      </c>
      <c r="H56" s="2">
        <v>0.15384615384615385</v>
      </c>
      <c r="I56">
        <v>3357.27</v>
      </c>
      <c r="J56">
        <v>1</v>
      </c>
      <c r="K56" s="2">
        <v>4.2599999999999999E-2</v>
      </c>
    </row>
    <row r="57" spans="1:11" x14ac:dyDescent="0.35">
      <c r="A57" t="s">
        <v>15</v>
      </c>
      <c r="B57" t="s">
        <v>36</v>
      </c>
      <c r="C57" s="1">
        <v>45352</v>
      </c>
      <c r="D57">
        <v>19</v>
      </c>
      <c r="E57">
        <v>6</v>
      </c>
      <c r="F57">
        <v>82.65</v>
      </c>
      <c r="G57">
        <v>3</v>
      </c>
      <c r="H57" s="2">
        <v>0.5</v>
      </c>
      <c r="I57">
        <v>1469.62</v>
      </c>
      <c r="J57">
        <v>3</v>
      </c>
      <c r="K57" s="2">
        <v>3.0699999999999998E-2</v>
      </c>
    </row>
    <row r="58" spans="1:11" x14ac:dyDescent="0.35">
      <c r="A58" t="s">
        <v>16</v>
      </c>
      <c r="B58" t="s">
        <v>36</v>
      </c>
      <c r="C58" s="1">
        <v>45352</v>
      </c>
      <c r="D58">
        <v>77</v>
      </c>
      <c r="E58">
        <v>14</v>
      </c>
      <c r="F58">
        <v>494.43</v>
      </c>
      <c r="G58">
        <v>4</v>
      </c>
      <c r="H58" s="2">
        <v>0.2857142857142857</v>
      </c>
      <c r="I58">
        <v>963.35</v>
      </c>
      <c r="J58">
        <v>2</v>
      </c>
      <c r="K58" s="2">
        <v>3.6699999999999997E-2</v>
      </c>
    </row>
    <row r="59" spans="1:11" x14ac:dyDescent="0.35">
      <c r="A59" t="s">
        <v>17</v>
      </c>
      <c r="B59" t="s">
        <v>36</v>
      </c>
      <c r="C59" s="1">
        <v>45352</v>
      </c>
      <c r="D59">
        <v>50</v>
      </c>
      <c r="E59">
        <v>8</v>
      </c>
      <c r="F59">
        <v>512.92999999999995</v>
      </c>
      <c r="G59">
        <v>3</v>
      </c>
      <c r="H59" s="2">
        <v>0.375</v>
      </c>
      <c r="I59">
        <v>3725.66</v>
      </c>
      <c r="J59">
        <v>1</v>
      </c>
      <c r="K59" s="2">
        <v>1.1599999999999999E-2</v>
      </c>
    </row>
    <row r="60" spans="1:11" x14ac:dyDescent="0.35">
      <c r="A60" t="s">
        <v>18</v>
      </c>
      <c r="B60" t="s">
        <v>36</v>
      </c>
      <c r="C60" s="1">
        <v>45352</v>
      </c>
      <c r="D60">
        <v>88</v>
      </c>
      <c r="E60">
        <v>18</v>
      </c>
      <c r="F60">
        <v>291.04000000000002</v>
      </c>
      <c r="G60">
        <v>2</v>
      </c>
      <c r="H60" s="2">
        <v>0.1111111111111111</v>
      </c>
      <c r="I60">
        <v>2619.84</v>
      </c>
      <c r="J60">
        <v>3</v>
      </c>
      <c r="K60" s="2">
        <v>0.10550000000000001</v>
      </c>
    </row>
    <row r="61" spans="1:11" x14ac:dyDescent="0.35">
      <c r="A61" t="s">
        <v>19</v>
      </c>
      <c r="B61" t="s">
        <v>36</v>
      </c>
      <c r="C61" s="1">
        <v>45352</v>
      </c>
      <c r="D61">
        <v>62</v>
      </c>
      <c r="E61">
        <v>9</v>
      </c>
      <c r="F61">
        <v>252.77</v>
      </c>
      <c r="G61">
        <v>7</v>
      </c>
      <c r="H61" s="2">
        <v>0.77777777777777779</v>
      </c>
      <c r="I61">
        <v>4641.6099999999997</v>
      </c>
      <c r="J61">
        <v>2</v>
      </c>
      <c r="K61" s="2">
        <v>4.0800000000000003E-2</v>
      </c>
    </row>
    <row r="62" spans="1:11" x14ac:dyDescent="0.35">
      <c r="A62" t="s">
        <v>20</v>
      </c>
      <c r="B62" t="s">
        <v>36</v>
      </c>
      <c r="C62" s="1">
        <v>45352</v>
      </c>
      <c r="D62">
        <v>33</v>
      </c>
      <c r="E62">
        <v>18</v>
      </c>
      <c r="F62">
        <v>348.57</v>
      </c>
      <c r="G62">
        <v>8</v>
      </c>
      <c r="H62" s="2">
        <v>0.44444444444444442</v>
      </c>
      <c r="I62">
        <v>1169.6400000000001</v>
      </c>
      <c r="J62">
        <v>1</v>
      </c>
      <c r="K62" s="2">
        <v>5.4800000000000001E-2</v>
      </c>
    </row>
    <row r="63" spans="1:11" x14ac:dyDescent="0.35">
      <c r="A63" t="s">
        <v>21</v>
      </c>
      <c r="B63" t="s">
        <v>36</v>
      </c>
      <c r="C63" s="1">
        <v>45352</v>
      </c>
      <c r="D63">
        <v>54</v>
      </c>
      <c r="E63">
        <v>15</v>
      </c>
      <c r="F63">
        <v>321.99</v>
      </c>
      <c r="G63">
        <v>8</v>
      </c>
      <c r="H63" s="2">
        <v>0.53333333333333333</v>
      </c>
      <c r="I63">
        <v>1080.0899999999999</v>
      </c>
      <c r="J63">
        <v>1</v>
      </c>
      <c r="K63" s="2">
        <v>3.5499999999999997E-2</v>
      </c>
    </row>
    <row r="64" spans="1:11" x14ac:dyDescent="0.35">
      <c r="A64" t="s">
        <v>22</v>
      </c>
      <c r="B64" t="s">
        <v>36</v>
      </c>
      <c r="C64" s="1">
        <v>45352</v>
      </c>
      <c r="D64">
        <v>16</v>
      </c>
      <c r="E64">
        <v>9</v>
      </c>
      <c r="F64">
        <v>199.87</v>
      </c>
      <c r="G64">
        <v>9</v>
      </c>
      <c r="H64" s="2">
        <v>1</v>
      </c>
      <c r="I64">
        <v>818.64</v>
      </c>
      <c r="J64">
        <v>3</v>
      </c>
      <c r="K64" s="2">
        <v>7.46E-2</v>
      </c>
    </row>
    <row r="65" spans="1:11" x14ac:dyDescent="0.35">
      <c r="A65" t="s">
        <v>23</v>
      </c>
      <c r="B65" t="s">
        <v>36</v>
      </c>
      <c r="C65" s="1">
        <v>45352</v>
      </c>
      <c r="D65">
        <v>30</v>
      </c>
      <c r="E65">
        <v>5</v>
      </c>
      <c r="F65">
        <v>565.19000000000005</v>
      </c>
      <c r="G65">
        <v>4</v>
      </c>
      <c r="H65" s="2">
        <v>0.8</v>
      </c>
      <c r="I65">
        <v>3621.51</v>
      </c>
      <c r="J65">
        <v>2</v>
      </c>
      <c r="K65" s="2">
        <v>4.3099999999999999E-2</v>
      </c>
    </row>
    <row r="66" spans="1:11" x14ac:dyDescent="0.35">
      <c r="A66" t="s">
        <v>24</v>
      </c>
      <c r="B66" t="s">
        <v>36</v>
      </c>
      <c r="C66" s="1">
        <v>45352</v>
      </c>
      <c r="D66">
        <v>68</v>
      </c>
      <c r="E66">
        <v>19</v>
      </c>
      <c r="F66">
        <v>623.25</v>
      </c>
      <c r="G66">
        <v>3</v>
      </c>
      <c r="H66" s="2">
        <v>0.15789473684210525</v>
      </c>
      <c r="I66">
        <v>355.96</v>
      </c>
      <c r="J66">
        <v>1</v>
      </c>
      <c r="K66" s="2">
        <v>3.6299999999999999E-2</v>
      </c>
    </row>
    <row r="67" spans="1:11" x14ac:dyDescent="0.35">
      <c r="A67" t="s">
        <v>25</v>
      </c>
      <c r="B67" t="s">
        <v>36</v>
      </c>
      <c r="C67" s="1">
        <v>45352</v>
      </c>
      <c r="D67">
        <v>31</v>
      </c>
      <c r="E67">
        <v>9</v>
      </c>
      <c r="F67">
        <v>209.18</v>
      </c>
      <c r="G67">
        <v>2</v>
      </c>
      <c r="H67" s="2">
        <v>0.22222222222222221</v>
      </c>
      <c r="I67">
        <v>4153.3100000000004</v>
      </c>
      <c r="J67">
        <v>3</v>
      </c>
      <c r="K67" s="2">
        <v>4.0399999999999998E-2</v>
      </c>
    </row>
    <row r="68" spans="1:11" x14ac:dyDescent="0.35">
      <c r="A68" t="s">
        <v>26</v>
      </c>
      <c r="B68" t="s">
        <v>36</v>
      </c>
      <c r="C68" s="1">
        <v>45352</v>
      </c>
      <c r="D68">
        <v>61</v>
      </c>
      <c r="E68">
        <v>7</v>
      </c>
      <c r="F68">
        <v>190.5</v>
      </c>
      <c r="G68">
        <v>3</v>
      </c>
      <c r="H68" s="2">
        <v>0.42857142857142855</v>
      </c>
      <c r="I68">
        <v>661.2</v>
      </c>
      <c r="J68">
        <v>2</v>
      </c>
      <c r="K68" s="2">
        <v>2.7699999999999999E-2</v>
      </c>
    </row>
    <row r="69" spans="1:11" x14ac:dyDescent="0.35">
      <c r="A69" t="s">
        <v>27</v>
      </c>
      <c r="B69" t="s">
        <v>36</v>
      </c>
      <c r="C69" s="1">
        <v>45352</v>
      </c>
      <c r="D69">
        <v>83</v>
      </c>
      <c r="E69">
        <v>5</v>
      </c>
      <c r="F69">
        <v>170.12</v>
      </c>
      <c r="G69">
        <v>3</v>
      </c>
      <c r="H69" s="2">
        <v>0.6</v>
      </c>
      <c r="I69">
        <v>1171.95</v>
      </c>
      <c r="J69">
        <v>1</v>
      </c>
      <c r="K69" s="2">
        <v>7.690000000000001E-2</v>
      </c>
    </row>
    <row r="70" spans="1:11" x14ac:dyDescent="0.35">
      <c r="A70" t="s">
        <v>28</v>
      </c>
      <c r="B70" t="s">
        <v>36</v>
      </c>
      <c r="C70" s="1">
        <v>45352</v>
      </c>
      <c r="D70">
        <v>74</v>
      </c>
      <c r="E70">
        <v>7</v>
      </c>
      <c r="F70">
        <v>87.89</v>
      </c>
      <c r="G70">
        <v>7</v>
      </c>
      <c r="H70" s="2">
        <v>1</v>
      </c>
      <c r="I70">
        <v>3848.14</v>
      </c>
      <c r="J70">
        <v>3</v>
      </c>
      <c r="K70" s="2">
        <v>8.6699999999999999E-2</v>
      </c>
    </row>
    <row r="71" spans="1:11" x14ac:dyDescent="0.35">
      <c r="A71" t="s">
        <v>29</v>
      </c>
      <c r="B71" t="s">
        <v>36</v>
      </c>
      <c r="C71" s="1">
        <v>45352</v>
      </c>
      <c r="D71">
        <v>21</v>
      </c>
      <c r="E71">
        <v>14</v>
      </c>
      <c r="F71">
        <v>498.82</v>
      </c>
      <c r="G71">
        <v>5</v>
      </c>
      <c r="H71" s="2">
        <v>0.35714285714285715</v>
      </c>
      <c r="I71">
        <v>4039.26</v>
      </c>
      <c r="J71">
        <v>2</v>
      </c>
      <c r="K71" s="2">
        <v>3.4000000000000002E-2</v>
      </c>
    </row>
    <row r="72" spans="1:11" x14ac:dyDescent="0.35">
      <c r="A72" t="s">
        <v>30</v>
      </c>
      <c r="B72" t="s">
        <v>39</v>
      </c>
      <c r="C72" s="1">
        <v>45352</v>
      </c>
      <c r="D72">
        <v>84</v>
      </c>
      <c r="E72">
        <v>15</v>
      </c>
      <c r="F72">
        <v>163.21</v>
      </c>
      <c r="G72">
        <v>5</v>
      </c>
      <c r="H72" s="2">
        <v>0.33333333333333331</v>
      </c>
      <c r="I72">
        <v>411.36</v>
      </c>
      <c r="J72">
        <v>1</v>
      </c>
      <c r="K72" s="2">
        <v>0.1014</v>
      </c>
    </row>
    <row r="73" spans="1:11" x14ac:dyDescent="0.35">
      <c r="A73" t="s">
        <v>31</v>
      </c>
      <c r="B73" t="s">
        <v>39</v>
      </c>
      <c r="C73" s="1">
        <v>45352</v>
      </c>
      <c r="D73">
        <v>64</v>
      </c>
      <c r="E73">
        <v>13</v>
      </c>
      <c r="F73">
        <v>496.4</v>
      </c>
      <c r="G73">
        <v>0</v>
      </c>
      <c r="H73" s="2">
        <v>0</v>
      </c>
      <c r="I73">
        <v>1306.3800000000001</v>
      </c>
      <c r="J73">
        <v>3</v>
      </c>
      <c r="K73" s="2">
        <v>1.1000000000000001E-3</v>
      </c>
    </row>
    <row r="74" spans="1:11" x14ac:dyDescent="0.35">
      <c r="A74" t="s">
        <v>32</v>
      </c>
      <c r="B74" t="s">
        <v>39</v>
      </c>
      <c r="C74" s="1">
        <v>45352</v>
      </c>
      <c r="D74">
        <v>21</v>
      </c>
      <c r="E74">
        <v>13</v>
      </c>
      <c r="F74">
        <v>315.41000000000003</v>
      </c>
      <c r="G74">
        <v>1</v>
      </c>
      <c r="H74" s="2">
        <v>7.6923076923076927E-2</v>
      </c>
      <c r="I74">
        <v>1692.59</v>
      </c>
      <c r="J74">
        <v>2</v>
      </c>
      <c r="K74" s="2">
        <v>5.0999999999999997E-2</v>
      </c>
    </row>
    <row r="75" spans="1:11" x14ac:dyDescent="0.35">
      <c r="A75" t="s">
        <v>33</v>
      </c>
      <c r="B75" t="s">
        <v>39</v>
      </c>
      <c r="C75" s="1">
        <v>45352</v>
      </c>
      <c r="D75">
        <v>110</v>
      </c>
      <c r="E75">
        <v>6</v>
      </c>
      <c r="F75">
        <v>535.37</v>
      </c>
      <c r="G75">
        <v>2</v>
      </c>
      <c r="H75" s="2">
        <v>0.33333333333333331</v>
      </c>
      <c r="I75">
        <v>3113.29</v>
      </c>
      <c r="J75">
        <v>1</v>
      </c>
      <c r="K75" s="2">
        <v>3.2099999999999997E-2</v>
      </c>
    </row>
    <row r="76" spans="1:11" x14ac:dyDescent="0.35">
      <c r="A76" t="s">
        <v>34</v>
      </c>
      <c r="B76" t="s">
        <v>39</v>
      </c>
      <c r="C76" s="1">
        <v>45352</v>
      </c>
      <c r="D76">
        <v>62</v>
      </c>
      <c r="E76">
        <v>8</v>
      </c>
      <c r="F76">
        <v>198.84</v>
      </c>
      <c r="G76">
        <v>8</v>
      </c>
      <c r="H76" s="2">
        <v>1</v>
      </c>
      <c r="I76">
        <v>534.58000000000004</v>
      </c>
      <c r="J76">
        <v>3</v>
      </c>
      <c r="K76" s="2">
        <v>8.8000000000000009E-2</v>
      </c>
    </row>
    <row r="77" spans="1:11" x14ac:dyDescent="0.35">
      <c r="A77" t="s">
        <v>35</v>
      </c>
      <c r="B77" t="s">
        <v>39</v>
      </c>
      <c r="C77" s="1">
        <v>45352</v>
      </c>
      <c r="D77">
        <v>108</v>
      </c>
      <c r="E77">
        <v>14</v>
      </c>
      <c r="F77">
        <v>416.78</v>
      </c>
      <c r="G77">
        <v>1</v>
      </c>
      <c r="H77" s="2">
        <v>7.1428571428571425E-2</v>
      </c>
      <c r="I77">
        <v>2989.69</v>
      </c>
      <c r="J77">
        <v>2</v>
      </c>
      <c r="K77" s="2">
        <v>2.5499999999999998E-2</v>
      </c>
    </row>
    <row r="78" spans="1:11" x14ac:dyDescent="0.35">
      <c r="A78" t="s">
        <v>37</v>
      </c>
      <c r="B78" t="s">
        <v>39</v>
      </c>
      <c r="C78" s="1">
        <v>45352</v>
      </c>
      <c r="D78">
        <v>28</v>
      </c>
      <c r="E78">
        <v>12</v>
      </c>
      <c r="F78">
        <v>533.85</v>
      </c>
      <c r="G78">
        <v>5</v>
      </c>
      <c r="H78" s="2">
        <v>0.41666666666666669</v>
      </c>
      <c r="I78">
        <v>224.87</v>
      </c>
      <c r="J78">
        <v>1</v>
      </c>
      <c r="K78" s="2">
        <v>6.480000000000001E-2</v>
      </c>
    </row>
    <row r="79" spans="1:11" x14ac:dyDescent="0.35">
      <c r="A79" t="s">
        <v>38</v>
      </c>
      <c r="B79" t="s">
        <v>39</v>
      </c>
      <c r="C79" s="1">
        <v>45352</v>
      </c>
      <c r="D79">
        <v>39</v>
      </c>
      <c r="E79">
        <v>16</v>
      </c>
      <c r="F79">
        <v>312.8</v>
      </c>
      <c r="G79">
        <v>8</v>
      </c>
      <c r="H79" s="2">
        <v>0.5</v>
      </c>
      <c r="I79">
        <v>4592.09</v>
      </c>
      <c r="J79">
        <v>3</v>
      </c>
      <c r="K79" s="2">
        <v>8.5500000000000007E-2</v>
      </c>
    </row>
    <row r="80" spans="1:11" x14ac:dyDescent="0.35">
      <c r="A80" t="s">
        <v>11</v>
      </c>
      <c r="B80" t="s">
        <v>39</v>
      </c>
      <c r="C80" s="1">
        <v>45383</v>
      </c>
      <c r="D80">
        <v>69</v>
      </c>
      <c r="E80">
        <v>17</v>
      </c>
      <c r="F80">
        <v>342.81</v>
      </c>
      <c r="G80">
        <v>6</v>
      </c>
      <c r="H80" s="2">
        <v>0.35294117647058826</v>
      </c>
      <c r="I80">
        <v>3728.2</v>
      </c>
      <c r="J80">
        <v>2</v>
      </c>
      <c r="K80" s="2">
        <v>2.9600000000000001E-2</v>
      </c>
    </row>
    <row r="81" spans="1:11" x14ac:dyDescent="0.35">
      <c r="A81" t="s">
        <v>13</v>
      </c>
      <c r="B81" t="s">
        <v>39</v>
      </c>
      <c r="C81" s="1">
        <v>45383</v>
      </c>
      <c r="D81">
        <v>83</v>
      </c>
      <c r="E81">
        <v>11</v>
      </c>
      <c r="F81">
        <v>365.12</v>
      </c>
      <c r="G81">
        <v>5</v>
      </c>
      <c r="H81" s="2">
        <v>0.45454545454545453</v>
      </c>
      <c r="I81">
        <v>3682.69</v>
      </c>
      <c r="J81">
        <v>1</v>
      </c>
      <c r="K81" s="2">
        <v>3.8199999999999998E-2</v>
      </c>
    </row>
    <row r="82" spans="1:11" x14ac:dyDescent="0.35">
      <c r="A82" t="s">
        <v>14</v>
      </c>
      <c r="B82" t="s">
        <v>39</v>
      </c>
      <c r="C82" s="1">
        <v>45383</v>
      </c>
      <c r="D82">
        <v>41</v>
      </c>
      <c r="E82">
        <v>14</v>
      </c>
      <c r="F82">
        <v>416.88</v>
      </c>
      <c r="G82">
        <v>2</v>
      </c>
      <c r="H82" s="2">
        <v>0.14285714285714285</v>
      </c>
      <c r="I82">
        <v>3638.83</v>
      </c>
      <c r="J82">
        <v>3</v>
      </c>
      <c r="K82" s="2">
        <v>4.41E-2</v>
      </c>
    </row>
    <row r="83" spans="1:11" x14ac:dyDescent="0.35">
      <c r="A83" t="s">
        <v>15</v>
      </c>
      <c r="B83" t="s">
        <v>39</v>
      </c>
      <c r="C83" s="1">
        <v>45383</v>
      </c>
      <c r="D83">
        <v>17</v>
      </c>
      <c r="E83">
        <v>7</v>
      </c>
      <c r="F83">
        <v>81.14</v>
      </c>
      <c r="G83">
        <v>3</v>
      </c>
      <c r="H83" s="2">
        <v>0.42857142857142855</v>
      </c>
      <c r="I83">
        <v>1419.04</v>
      </c>
      <c r="J83">
        <v>2</v>
      </c>
      <c r="K83" s="2">
        <v>2.9399999999999999E-2</v>
      </c>
    </row>
    <row r="84" spans="1:11" x14ac:dyDescent="0.35">
      <c r="A84" t="s">
        <v>16</v>
      </c>
      <c r="B84" t="s">
        <v>39</v>
      </c>
      <c r="C84" s="1">
        <v>45383</v>
      </c>
      <c r="D84">
        <v>76</v>
      </c>
      <c r="E84">
        <v>16</v>
      </c>
      <c r="F84">
        <v>449.04</v>
      </c>
      <c r="G84">
        <v>4</v>
      </c>
      <c r="H84" s="2">
        <v>0.25</v>
      </c>
      <c r="I84">
        <v>1019.97</v>
      </c>
      <c r="J84">
        <v>1</v>
      </c>
      <c r="K84" s="2">
        <v>3.8100000000000002E-2</v>
      </c>
    </row>
    <row r="85" spans="1:11" x14ac:dyDescent="0.35">
      <c r="A85" t="s">
        <v>17</v>
      </c>
      <c r="B85" t="s">
        <v>39</v>
      </c>
      <c r="C85" s="1">
        <v>45383</v>
      </c>
      <c r="D85">
        <v>72</v>
      </c>
      <c r="E85">
        <v>6</v>
      </c>
      <c r="F85">
        <v>508.55</v>
      </c>
      <c r="G85">
        <v>3</v>
      </c>
      <c r="H85" s="2">
        <v>0.5</v>
      </c>
      <c r="I85">
        <v>3633.75</v>
      </c>
      <c r="J85">
        <v>3</v>
      </c>
      <c r="K85" s="2">
        <v>1.1399999999999999E-2</v>
      </c>
    </row>
    <row r="86" spans="1:11" x14ac:dyDescent="0.35">
      <c r="A86" t="s">
        <v>18</v>
      </c>
      <c r="B86" t="s">
        <v>39</v>
      </c>
      <c r="C86" s="1">
        <v>45383</v>
      </c>
      <c r="D86">
        <v>72</v>
      </c>
      <c r="E86">
        <v>18</v>
      </c>
      <c r="F86">
        <v>299.08999999999997</v>
      </c>
      <c r="G86">
        <v>2</v>
      </c>
      <c r="H86" s="2">
        <v>0.1111111111111111</v>
      </c>
      <c r="I86">
        <v>2378.29</v>
      </c>
      <c r="J86">
        <v>2</v>
      </c>
      <c r="K86" s="2">
        <v>0.1052</v>
      </c>
    </row>
    <row r="87" spans="1:11" x14ac:dyDescent="0.35">
      <c r="A87" t="s">
        <v>19</v>
      </c>
      <c r="B87" t="s">
        <v>39</v>
      </c>
      <c r="C87" s="1">
        <v>45383</v>
      </c>
      <c r="D87">
        <v>44</v>
      </c>
      <c r="E87">
        <v>6</v>
      </c>
      <c r="F87">
        <v>246.21</v>
      </c>
      <c r="G87">
        <v>5</v>
      </c>
      <c r="H87" s="2">
        <v>0.83333333333333337</v>
      </c>
      <c r="I87">
        <v>4155.8</v>
      </c>
      <c r="J87">
        <v>1</v>
      </c>
      <c r="K87" s="2">
        <v>4.3299999999999998E-2</v>
      </c>
    </row>
    <row r="88" spans="1:11" x14ac:dyDescent="0.35">
      <c r="A88" t="s">
        <v>20</v>
      </c>
      <c r="B88" t="s">
        <v>39</v>
      </c>
      <c r="C88" s="1">
        <v>45383</v>
      </c>
      <c r="D88">
        <v>29</v>
      </c>
      <c r="E88">
        <v>16</v>
      </c>
      <c r="F88">
        <v>412.07</v>
      </c>
      <c r="G88">
        <v>10</v>
      </c>
      <c r="H88" s="2">
        <v>0.625</v>
      </c>
      <c r="I88">
        <v>1075.94</v>
      </c>
      <c r="J88">
        <v>1</v>
      </c>
      <c r="K88" s="2">
        <v>6.2400000000000004E-2</v>
      </c>
    </row>
    <row r="89" spans="1:11" x14ac:dyDescent="0.35">
      <c r="A89" t="s">
        <v>21</v>
      </c>
      <c r="B89" t="s">
        <v>39</v>
      </c>
      <c r="C89" s="1">
        <v>45383</v>
      </c>
      <c r="D89">
        <v>64</v>
      </c>
      <c r="E89">
        <v>13</v>
      </c>
      <c r="F89">
        <v>317.58</v>
      </c>
      <c r="G89">
        <v>8</v>
      </c>
      <c r="H89" s="2">
        <v>0.61538461538461542</v>
      </c>
      <c r="I89">
        <v>1088.22</v>
      </c>
      <c r="J89">
        <v>3</v>
      </c>
      <c r="K89" s="2">
        <v>3.49E-2</v>
      </c>
    </row>
    <row r="90" spans="1:11" x14ac:dyDescent="0.35">
      <c r="A90" t="s">
        <v>22</v>
      </c>
      <c r="B90" t="s">
        <v>39</v>
      </c>
      <c r="C90" s="1">
        <v>45383</v>
      </c>
      <c r="D90">
        <v>16</v>
      </c>
      <c r="E90">
        <v>7</v>
      </c>
      <c r="F90">
        <v>181.58</v>
      </c>
      <c r="G90">
        <v>6</v>
      </c>
      <c r="H90" s="2">
        <v>0.8571428571428571</v>
      </c>
      <c r="I90">
        <v>868.4</v>
      </c>
      <c r="J90">
        <v>2</v>
      </c>
      <c r="K90" s="2">
        <v>8.4100000000000008E-2</v>
      </c>
    </row>
    <row r="91" spans="1:11" x14ac:dyDescent="0.35">
      <c r="A91" t="s">
        <v>23</v>
      </c>
      <c r="B91" t="s">
        <v>39</v>
      </c>
      <c r="C91" s="1">
        <v>45383</v>
      </c>
      <c r="D91">
        <v>37</v>
      </c>
      <c r="E91">
        <v>7</v>
      </c>
      <c r="F91">
        <v>470.85</v>
      </c>
      <c r="G91">
        <v>7</v>
      </c>
      <c r="H91" s="2">
        <v>1</v>
      </c>
      <c r="I91">
        <v>3483.6</v>
      </c>
      <c r="J91">
        <v>1</v>
      </c>
      <c r="K91" s="2">
        <v>4.2599999999999999E-2</v>
      </c>
    </row>
    <row r="92" spans="1:11" x14ac:dyDescent="0.35">
      <c r="A92" t="s">
        <v>24</v>
      </c>
      <c r="B92" t="s">
        <v>39</v>
      </c>
      <c r="C92" s="1">
        <v>45383</v>
      </c>
      <c r="D92">
        <v>81</v>
      </c>
      <c r="E92">
        <v>16</v>
      </c>
      <c r="F92">
        <v>584.29999999999995</v>
      </c>
      <c r="G92">
        <v>3</v>
      </c>
      <c r="H92" s="2">
        <v>0.1875</v>
      </c>
      <c r="I92">
        <v>377.45</v>
      </c>
      <c r="J92">
        <v>3</v>
      </c>
      <c r="K92" s="2">
        <v>3.32E-2</v>
      </c>
    </row>
    <row r="93" spans="1:11" x14ac:dyDescent="0.35">
      <c r="A93" t="s">
        <v>25</v>
      </c>
      <c r="B93" t="s">
        <v>39</v>
      </c>
      <c r="C93" s="1">
        <v>45383</v>
      </c>
      <c r="D93">
        <v>26</v>
      </c>
      <c r="E93">
        <v>6</v>
      </c>
      <c r="F93">
        <v>231.59</v>
      </c>
      <c r="G93">
        <v>2</v>
      </c>
      <c r="H93" s="2">
        <v>0.33333333333333331</v>
      </c>
      <c r="I93">
        <v>3988.15</v>
      </c>
      <c r="J93">
        <v>2</v>
      </c>
      <c r="K93" s="2">
        <v>3.8399999999999997E-2</v>
      </c>
    </row>
    <row r="94" spans="1:11" x14ac:dyDescent="0.35">
      <c r="A94" t="s">
        <v>26</v>
      </c>
      <c r="B94" t="s">
        <v>40</v>
      </c>
      <c r="C94" s="1">
        <v>45383</v>
      </c>
      <c r="D94">
        <v>69</v>
      </c>
      <c r="E94">
        <v>9</v>
      </c>
      <c r="F94">
        <v>221.01</v>
      </c>
      <c r="G94">
        <v>3</v>
      </c>
      <c r="H94" s="2">
        <v>0.33333333333333331</v>
      </c>
      <c r="I94">
        <v>643.44000000000005</v>
      </c>
      <c r="J94">
        <v>1</v>
      </c>
      <c r="K94" s="2">
        <v>3.2000000000000001E-2</v>
      </c>
    </row>
    <row r="95" spans="1:11" x14ac:dyDescent="0.35">
      <c r="A95" t="s">
        <v>27</v>
      </c>
      <c r="B95" t="s">
        <v>40</v>
      </c>
      <c r="C95" s="1">
        <v>45383</v>
      </c>
      <c r="D95">
        <v>103</v>
      </c>
      <c r="E95">
        <v>6</v>
      </c>
      <c r="F95">
        <v>165.74</v>
      </c>
      <c r="G95">
        <v>6</v>
      </c>
      <c r="H95" s="2">
        <v>1</v>
      </c>
      <c r="I95">
        <v>1169.3800000000001</v>
      </c>
      <c r="J95">
        <v>3</v>
      </c>
      <c r="K95" s="2">
        <v>7.7699999999999991E-2</v>
      </c>
    </row>
    <row r="96" spans="1:11" x14ac:dyDescent="0.35">
      <c r="A96" t="s">
        <v>28</v>
      </c>
      <c r="B96" t="s">
        <v>40</v>
      </c>
      <c r="C96" s="1">
        <v>45383</v>
      </c>
      <c r="D96">
        <v>100</v>
      </c>
      <c r="E96">
        <v>7</v>
      </c>
      <c r="F96">
        <v>82.62</v>
      </c>
      <c r="G96">
        <v>6</v>
      </c>
      <c r="H96" s="2">
        <v>0.8571428571428571</v>
      </c>
      <c r="I96">
        <v>4085.91</v>
      </c>
      <c r="J96">
        <v>2</v>
      </c>
      <c r="K96" s="2">
        <v>9.0500000000000011E-2</v>
      </c>
    </row>
    <row r="97" spans="1:11" x14ac:dyDescent="0.35">
      <c r="A97" t="s">
        <v>29</v>
      </c>
      <c r="B97" t="s">
        <v>40</v>
      </c>
      <c r="C97" s="1">
        <v>45383</v>
      </c>
      <c r="D97">
        <v>26</v>
      </c>
      <c r="E97">
        <v>17</v>
      </c>
      <c r="F97">
        <v>526.34</v>
      </c>
      <c r="G97">
        <v>6</v>
      </c>
      <c r="H97" s="2">
        <v>0.35294117647058826</v>
      </c>
      <c r="I97">
        <v>3360.11</v>
      </c>
      <c r="J97">
        <v>1</v>
      </c>
      <c r="K97" s="2">
        <v>3.0600000000000002E-2</v>
      </c>
    </row>
    <row r="98" spans="1:11" x14ac:dyDescent="0.35">
      <c r="A98" t="s">
        <v>30</v>
      </c>
      <c r="B98" t="s">
        <v>40</v>
      </c>
      <c r="C98" s="1">
        <v>45383</v>
      </c>
      <c r="D98">
        <v>104</v>
      </c>
      <c r="E98">
        <v>22</v>
      </c>
      <c r="F98">
        <v>190.87</v>
      </c>
      <c r="G98">
        <v>4</v>
      </c>
      <c r="H98" s="2">
        <v>0.18181818181818182</v>
      </c>
      <c r="I98">
        <v>433.41</v>
      </c>
      <c r="J98">
        <v>3</v>
      </c>
      <c r="K98" s="2">
        <v>9.3599999999999989E-2</v>
      </c>
    </row>
    <row r="99" spans="1:11" x14ac:dyDescent="0.35">
      <c r="A99" t="s">
        <v>31</v>
      </c>
      <c r="B99" t="s">
        <v>40</v>
      </c>
      <c r="C99" s="1">
        <v>45383</v>
      </c>
      <c r="D99">
        <v>63</v>
      </c>
      <c r="E99">
        <v>11</v>
      </c>
      <c r="F99">
        <v>554.51</v>
      </c>
      <c r="G99">
        <v>1</v>
      </c>
      <c r="H99" s="2">
        <v>9.0909090909090912E-2</v>
      </c>
      <c r="I99">
        <v>1138.51</v>
      </c>
      <c r="J99">
        <v>2</v>
      </c>
      <c r="K99" s="2">
        <v>1E-3</v>
      </c>
    </row>
    <row r="100" spans="1:11" x14ac:dyDescent="0.35">
      <c r="A100" t="s">
        <v>32</v>
      </c>
      <c r="B100" t="s">
        <v>40</v>
      </c>
      <c r="C100" s="1">
        <v>45383</v>
      </c>
      <c r="D100">
        <v>22</v>
      </c>
      <c r="E100">
        <v>13</v>
      </c>
      <c r="F100">
        <v>302.49</v>
      </c>
      <c r="G100">
        <v>2</v>
      </c>
      <c r="H100" s="2">
        <v>0.15384615384615385</v>
      </c>
      <c r="I100">
        <v>1591.45</v>
      </c>
      <c r="J100">
        <v>3</v>
      </c>
      <c r="K100" s="2">
        <v>4.9599999999999998E-2</v>
      </c>
    </row>
    <row r="101" spans="1:11" x14ac:dyDescent="0.35">
      <c r="A101" t="s">
        <v>33</v>
      </c>
      <c r="B101" t="s">
        <v>40</v>
      </c>
      <c r="C101" s="1">
        <v>45383</v>
      </c>
      <c r="D101">
        <v>91</v>
      </c>
      <c r="E101">
        <v>5</v>
      </c>
      <c r="F101">
        <v>605.11</v>
      </c>
      <c r="G101">
        <v>2</v>
      </c>
      <c r="H101" s="2">
        <v>0.4</v>
      </c>
      <c r="I101">
        <v>3499.88</v>
      </c>
      <c r="J101">
        <v>2</v>
      </c>
      <c r="K101" s="2">
        <v>3.0200000000000001E-2</v>
      </c>
    </row>
    <row r="102" spans="1:11" x14ac:dyDescent="0.35">
      <c r="A102" t="s">
        <v>34</v>
      </c>
      <c r="B102" t="s">
        <v>40</v>
      </c>
      <c r="C102" s="1">
        <v>45383</v>
      </c>
      <c r="D102">
        <v>77</v>
      </c>
      <c r="E102">
        <v>8</v>
      </c>
      <c r="F102">
        <v>173.88</v>
      </c>
      <c r="G102">
        <v>6</v>
      </c>
      <c r="H102" s="2">
        <v>0.75</v>
      </c>
      <c r="I102">
        <v>462.44</v>
      </c>
      <c r="J102">
        <v>1</v>
      </c>
      <c r="K102" s="2">
        <v>7.9899999999999999E-2</v>
      </c>
    </row>
    <row r="103" spans="1:11" x14ac:dyDescent="0.35">
      <c r="A103" t="s">
        <v>35</v>
      </c>
      <c r="B103" t="s">
        <v>40</v>
      </c>
      <c r="C103" s="1">
        <v>45383</v>
      </c>
      <c r="D103">
        <v>90</v>
      </c>
      <c r="E103">
        <v>17</v>
      </c>
      <c r="F103">
        <v>366.84</v>
      </c>
      <c r="G103">
        <v>0</v>
      </c>
      <c r="H103" s="2">
        <v>0</v>
      </c>
      <c r="I103">
        <v>3153.56</v>
      </c>
      <c r="J103">
        <v>3</v>
      </c>
      <c r="K103" s="2">
        <v>2.4500000000000001E-2</v>
      </c>
    </row>
    <row r="104" spans="1:11" x14ac:dyDescent="0.35">
      <c r="A104" t="s">
        <v>37</v>
      </c>
      <c r="B104" t="s">
        <v>40</v>
      </c>
      <c r="C104" s="1">
        <v>45383</v>
      </c>
      <c r="D104">
        <v>33</v>
      </c>
      <c r="E104">
        <v>9</v>
      </c>
      <c r="F104">
        <v>578.41999999999996</v>
      </c>
      <c r="G104">
        <v>4</v>
      </c>
      <c r="H104" s="2">
        <v>0.44444444444444442</v>
      </c>
      <c r="I104">
        <v>229.72</v>
      </c>
      <c r="J104">
        <v>2</v>
      </c>
      <c r="K104" s="2">
        <v>7.46E-2</v>
      </c>
    </row>
    <row r="105" spans="1:11" x14ac:dyDescent="0.35">
      <c r="A105" t="s">
        <v>38</v>
      </c>
      <c r="B105" t="s">
        <v>40</v>
      </c>
      <c r="C105" s="1">
        <v>45383</v>
      </c>
      <c r="D105">
        <v>42</v>
      </c>
      <c r="E105">
        <v>14</v>
      </c>
      <c r="F105">
        <v>321.29000000000002</v>
      </c>
      <c r="G105">
        <v>7</v>
      </c>
      <c r="H105" s="2">
        <v>0.5</v>
      </c>
      <c r="I105">
        <v>4298.2700000000004</v>
      </c>
      <c r="J105">
        <v>1</v>
      </c>
      <c r="K105" s="2">
        <v>7.4499999999999997E-2</v>
      </c>
    </row>
    <row r="106" spans="1:11" x14ac:dyDescent="0.35">
      <c r="A106" t="s">
        <v>11</v>
      </c>
      <c r="B106" t="s">
        <v>40</v>
      </c>
      <c r="C106" s="1">
        <v>45413</v>
      </c>
      <c r="D106">
        <v>69</v>
      </c>
      <c r="E106">
        <v>16</v>
      </c>
      <c r="F106">
        <v>299.22000000000003</v>
      </c>
      <c r="G106">
        <v>6</v>
      </c>
      <c r="H106" s="2">
        <v>0.375</v>
      </c>
      <c r="I106">
        <v>3716.14</v>
      </c>
      <c r="J106">
        <v>3</v>
      </c>
      <c r="K106" s="2">
        <v>2.63E-2</v>
      </c>
    </row>
    <row r="107" spans="1:11" x14ac:dyDescent="0.35">
      <c r="A107" t="s">
        <v>13</v>
      </c>
      <c r="B107" t="s">
        <v>40</v>
      </c>
      <c r="C107" s="1">
        <v>45413</v>
      </c>
      <c r="D107">
        <v>68</v>
      </c>
      <c r="E107">
        <v>11</v>
      </c>
      <c r="F107">
        <v>345.62</v>
      </c>
      <c r="G107">
        <v>4</v>
      </c>
      <c r="H107" s="2">
        <v>0.36363636363636365</v>
      </c>
      <c r="I107">
        <v>3558.13</v>
      </c>
      <c r="J107">
        <v>2</v>
      </c>
      <c r="K107" s="2">
        <v>4.0800000000000003E-2</v>
      </c>
    </row>
    <row r="108" spans="1:11" x14ac:dyDescent="0.35">
      <c r="A108" t="s">
        <v>14</v>
      </c>
      <c r="B108" t="s">
        <v>40</v>
      </c>
      <c r="C108" s="1">
        <v>45413</v>
      </c>
      <c r="D108">
        <v>45</v>
      </c>
      <c r="E108">
        <v>17</v>
      </c>
      <c r="F108">
        <v>416.96</v>
      </c>
      <c r="G108">
        <v>3</v>
      </c>
      <c r="H108" s="2">
        <v>0.17647058823529413</v>
      </c>
      <c r="I108">
        <v>3327.07</v>
      </c>
      <c r="J108">
        <v>1</v>
      </c>
      <c r="K108" s="2">
        <v>4.0999999999999995E-2</v>
      </c>
    </row>
    <row r="109" spans="1:11" x14ac:dyDescent="0.35">
      <c r="A109" t="s">
        <v>15</v>
      </c>
      <c r="B109" t="s">
        <v>40</v>
      </c>
      <c r="C109" s="1">
        <v>45413</v>
      </c>
      <c r="D109">
        <v>17</v>
      </c>
      <c r="E109">
        <v>8</v>
      </c>
      <c r="F109">
        <v>72.05</v>
      </c>
      <c r="G109">
        <v>3</v>
      </c>
      <c r="H109" s="2">
        <v>0.375</v>
      </c>
      <c r="I109">
        <v>1672.82</v>
      </c>
      <c r="J109">
        <v>3</v>
      </c>
      <c r="K109" s="2">
        <v>3.0299999999999997E-2</v>
      </c>
    </row>
    <row r="110" spans="1:11" x14ac:dyDescent="0.35">
      <c r="A110" t="s">
        <v>16</v>
      </c>
      <c r="B110" t="s">
        <v>40</v>
      </c>
      <c r="C110" s="1">
        <v>45413</v>
      </c>
      <c r="D110">
        <v>85</v>
      </c>
      <c r="E110">
        <v>13</v>
      </c>
      <c r="F110">
        <v>475.61</v>
      </c>
      <c r="G110">
        <v>5</v>
      </c>
      <c r="H110" s="2">
        <v>0.38461538461538464</v>
      </c>
      <c r="I110">
        <v>939.32</v>
      </c>
      <c r="J110">
        <v>2</v>
      </c>
      <c r="K110" s="2">
        <v>3.6400000000000002E-2</v>
      </c>
    </row>
    <row r="111" spans="1:11" x14ac:dyDescent="0.35">
      <c r="A111" t="s">
        <v>17</v>
      </c>
      <c r="B111" t="s">
        <v>40</v>
      </c>
      <c r="C111" s="1">
        <v>45413</v>
      </c>
      <c r="D111">
        <v>49</v>
      </c>
      <c r="E111">
        <v>7</v>
      </c>
      <c r="F111">
        <v>469.53</v>
      </c>
      <c r="G111">
        <v>3</v>
      </c>
      <c r="H111" s="2">
        <v>0.42857142857142855</v>
      </c>
      <c r="I111">
        <v>3623.32</v>
      </c>
      <c r="J111">
        <v>1</v>
      </c>
      <c r="K111" s="2">
        <v>1.21E-2</v>
      </c>
    </row>
    <row r="112" spans="1:11" x14ac:dyDescent="0.35">
      <c r="A112" t="s">
        <v>18</v>
      </c>
      <c r="B112" t="s">
        <v>40</v>
      </c>
      <c r="C112" s="1">
        <v>45413</v>
      </c>
      <c r="D112">
        <v>66</v>
      </c>
      <c r="E112">
        <v>15</v>
      </c>
      <c r="F112">
        <v>333.1</v>
      </c>
      <c r="G112">
        <v>2</v>
      </c>
      <c r="H112" s="2">
        <v>0.13333333333333333</v>
      </c>
      <c r="I112">
        <v>2631.58</v>
      </c>
      <c r="J112">
        <v>1</v>
      </c>
      <c r="K112" s="2">
        <v>0.10249999999999999</v>
      </c>
    </row>
    <row r="113" spans="1:11" x14ac:dyDescent="0.35">
      <c r="A113" t="s">
        <v>19</v>
      </c>
      <c r="B113" t="s">
        <v>40</v>
      </c>
      <c r="C113" s="1">
        <v>45413</v>
      </c>
      <c r="D113">
        <v>63</v>
      </c>
      <c r="E113">
        <v>9</v>
      </c>
      <c r="F113">
        <v>258.11</v>
      </c>
      <c r="G113">
        <v>7</v>
      </c>
      <c r="H113" s="2">
        <v>0.77777777777777779</v>
      </c>
      <c r="I113">
        <v>4064.36</v>
      </c>
      <c r="J113">
        <v>3</v>
      </c>
      <c r="K113" s="2">
        <v>4.1599999999999998E-2</v>
      </c>
    </row>
    <row r="114" spans="1:11" x14ac:dyDescent="0.35">
      <c r="A114" t="s">
        <v>20</v>
      </c>
      <c r="B114" t="s">
        <v>40</v>
      </c>
      <c r="C114" s="1">
        <v>45413</v>
      </c>
      <c r="D114">
        <v>31</v>
      </c>
      <c r="E114">
        <v>20</v>
      </c>
      <c r="F114">
        <v>400.8</v>
      </c>
      <c r="G114">
        <v>8</v>
      </c>
      <c r="H114" s="2">
        <v>0.4</v>
      </c>
      <c r="I114">
        <v>1294.3599999999999</v>
      </c>
      <c r="J114">
        <v>2</v>
      </c>
      <c r="K114" s="2">
        <v>5.6399999999999999E-2</v>
      </c>
    </row>
    <row r="115" spans="1:11" x14ac:dyDescent="0.35">
      <c r="A115" t="s">
        <v>21</v>
      </c>
      <c r="B115" t="s">
        <v>40</v>
      </c>
      <c r="C115" s="1">
        <v>45413</v>
      </c>
      <c r="D115">
        <v>75</v>
      </c>
      <c r="E115">
        <v>19</v>
      </c>
      <c r="F115">
        <v>343.28</v>
      </c>
      <c r="G115">
        <v>9</v>
      </c>
      <c r="H115" s="2">
        <v>0.47368421052631576</v>
      </c>
      <c r="I115">
        <v>899.46</v>
      </c>
      <c r="J115">
        <v>1</v>
      </c>
      <c r="K115" s="2">
        <v>3.2199999999999999E-2</v>
      </c>
    </row>
    <row r="116" spans="1:11" x14ac:dyDescent="0.35">
      <c r="A116" t="s">
        <v>22</v>
      </c>
      <c r="B116" t="s">
        <v>40</v>
      </c>
      <c r="C116" s="1">
        <v>45413</v>
      </c>
      <c r="D116">
        <v>18</v>
      </c>
      <c r="E116">
        <v>7</v>
      </c>
      <c r="F116">
        <v>204.63</v>
      </c>
      <c r="G116">
        <v>7</v>
      </c>
      <c r="H116" s="2">
        <v>1</v>
      </c>
      <c r="I116">
        <v>789.77</v>
      </c>
      <c r="J116">
        <v>3</v>
      </c>
      <c r="K116" s="2">
        <v>7.4499999999999997E-2</v>
      </c>
    </row>
    <row r="117" spans="1:11" x14ac:dyDescent="0.35">
      <c r="A117" t="s">
        <v>23</v>
      </c>
      <c r="B117" t="s">
        <v>40</v>
      </c>
      <c r="C117" s="1">
        <v>45413</v>
      </c>
      <c r="D117">
        <v>35</v>
      </c>
      <c r="E117">
        <v>6</v>
      </c>
      <c r="F117">
        <v>553.11</v>
      </c>
      <c r="G117">
        <v>4</v>
      </c>
      <c r="H117" s="2">
        <v>0.66666666666666663</v>
      </c>
      <c r="I117">
        <v>3867.67</v>
      </c>
      <c r="J117">
        <v>2</v>
      </c>
      <c r="K117" s="2">
        <v>3.8300000000000001E-2</v>
      </c>
    </row>
    <row r="118" spans="1:11" x14ac:dyDescent="0.35">
      <c r="A118" t="s">
        <v>24</v>
      </c>
      <c r="B118" t="s">
        <v>40</v>
      </c>
      <c r="C118" s="1">
        <v>45413</v>
      </c>
      <c r="D118">
        <v>74</v>
      </c>
      <c r="E118">
        <v>20</v>
      </c>
      <c r="F118">
        <v>623.33000000000004</v>
      </c>
      <c r="G118">
        <v>2</v>
      </c>
      <c r="H118" s="2">
        <v>0.1</v>
      </c>
      <c r="I118">
        <v>359.97</v>
      </c>
      <c r="J118">
        <v>1</v>
      </c>
      <c r="K118" s="2">
        <v>3.8399999999999997E-2</v>
      </c>
    </row>
    <row r="119" spans="1:11" x14ac:dyDescent="0.35">
      <c r="A119" t="s">
        <v>25</v>
      </c>
      <c r="B119" t="s">
        <v>40</v>
      </c>
      <c r="C119" s="1">
        <v>45413</v>
      </c>
      <c r="D119">
        <v>26</v>
      </c>
      <c r="E119">
        <v>7</v>
      </c>
      <c r="F119">
        <v>200.45</v>
      </c>
      <c r="G119">
        <v>1</v>
      </c>
      <c r="H119" s="2">
        <v>0.14285714285714285</v>
      </c>
      <c r="I119">
        <v>3797.35</v>
      </c>
      <c r="J119">
        <v>3</v>
      </c>
      <c r="K119" s="2">
        <v>4.1399999999999999E-2</v>
      </c>
    </row>
    <row r="120" spans="1:11" x14ac:dyDescent="0.35">
      <c r="A120" t="s">
        <v>26</v>
      </c>
      <c r="B120" t="s">
        <v>40</v>
      </c>
      <c r="C120" s="1">
        <v>45413</v>
      </c>
      <c r="D120">
        <v>50</v>
      </c>
      <c r="E120">
        <v>7</v>
      </c>
      <c r="F120">
        <v>196.2</v>
      </c>
      <c r="G120">
        <v>2</v>
      </c>
      <c r="H120" s="2">
        <v>0.2857142857142857</v>
      </c>
      <c r="I120">
        <v>592.71</v>
      </c>
      <c r="J120">
        <v>2</v>
      </c>
      <c r="K120" s="2">
        <v>2.76E-2</v>
      </c>
    </row>
    <row r="121" spans="1:11" x14ac:dyDescent="0.35">
      <c r="A121" t="s">
        <v>27</v>
      </c>
      <c r="B121" t="s">
        <v>40</v>
      </c>
      <c r="C121" s="1">
        <v>45413</v>
      </c>
      <c r="D121">
        <v>97</v>
      </c>
      <c r="E121">
        <v>5</v>
      </c>
      <c r="F121">
        <v>185.62</v>
      </c>
      <c r="G121">
        <v>4</v>
      </c>
      <c r="H121" s="2">
        <v>0.8</v>
      </c>
      <c r="I121">
        <v>1282.81</v>
      </c>
      <c r="J121">
        <v>1</v>
      </c>
      <c r="K121" s="2">
        <v>7.22E-2</v>
      </c>
    </row>
    <row r="122" spans="1:11" x14ac:dyDescent="0.35">
      <c r="A122" t="s">
        <v>28</v>
      </c>
      <c r="B122" t="s">
        <v>40</v>
      </c>
      <c r="C122" s="1">
        <v>45413</v>
      </c>
      <c r="D122">
        <v>91</v>
      </c>
      <c r="E122">
        <v>7</v>
      </c>
      <c r="F122">
        <v>89.39</v>
      </c>
      <c r="G122">
        <v>6</v>
      </c>
      <c r="H122" s="2">
        <v>0.8571428571428571</v>
      </c>
      <c r="I122">
        <v>3971.59</v>
      </c>
      <c r="J122">
        <v>3</v>
      </c>
      <c r="K122" s="2">
        <v>9.0700000000000003E-2</v>
      </c>
    </row>
    <row r="123" spans="1:11" x14ac:dyDescent="0.35">
      <c r="A123" t="s">
        <v>29</v>
      </c>
      <c r="B123" t="s">
        <v>40</v>
      </c>
      <c r="C123" s="1">
        <v>45413</v>
      </c>
      <c r="D123">
        <v>21</v>
      </c>
      <c r="E123">
        <v>14</v>
      </c>
      <c r="F123">
        <v>472.79</v>
      </c>
      <c r="G123">
        <v>8</v>
      </c>
      <c r="H123" s="2">
        <v>0.5714285714285714</v>
      </c>
      <c r="I123">
        <v>3830.32</v>
      </c>
      <c r="J123">
        <v>2</v>
      </c>
      <c r="K123" s="2">
        <v>3.5200000000000002E-2</v>
      </c>
    </row>
    <row r="124" spans="1:11" x14ac:dyDescent="0.35">
      <c r="A124" t="s">
        <v>30</v>
      </c>
      <c r="B124" t="s">
        <v>40</v>
      </c>
      <c r="C124" s="1">
        <v>45413</v>
      </c>
      <c r="D124">
        <v>91</v>
      </c>
      <c r="E124">
        <v>15</v>
      </c>
      <c r="F124">
        <v>173.03</v>
      </c>
      <c r="G124">
        <v>4</v>
      </c>
      <c r="H124" s="2">
        <v>0.26666666666666666</v>
      </c>
      <c r="I124">
        <v>386.08</v>
      </c>
      <c r="J124">
        <v>1</v>
      </c>
      <c r="K124" s="2">
        <v>9.820000000000001E-2</v>
      </c>
    </row>
    <row r="125" spans="1:11" x14ac:dyDescent="0.35">
      <c r="A125" t="s">
        <v>31</v>
      </c>
      <c r="B125" t="s">
        <v>40</v>
      </c>
      <c r="C125" s="1">
        <v>45413</v>
      </c>
      <c r="D125">
        <v>67</v>
      </c>
      <c r="E125">
        <v>15</v>
      </c>
      <c r="F125">
        <v>499.68</v>
      </c>
      <c r="G125">
        <v>0</v>
      </c>
      <c r="H125" s="2">
        <v>0</v>
      </c>
      <c r="I125">
        <v>1287.1300000000001</v>
      </c>
      <c r="J125">
        <v>3</v>
      </c>
      <c r="K125" s="2">
        <v>1E-3</v>
      </c>
    </row>
    <row r="126" spans="1:11" x14ac:dyDescent="0.35">
      <c r="A126" t="s">
        <v>32</v>
      </c>
      <c r="B126" t="s">
        <v>40</v>
      </c>
      <c r="C126" s="1">
        <v>45413</v>
      </c>
      <c r="D126">
        <v>19</v>
      </c>
      <c r="E126">
        <v>13</v>
      </c>
      <c r="F126">
        <v>316.23</v>
      </c>
      <c r="G126">
        <v>1</v>
      </c>
      <c r="H126" s="2">
        <v>7.6923076923076927E-2</v>
      </c>
      <c r="I126">
        <v>1598.49</v>
      </c>
      <c r="J126">
        <v>2</v>
      </c>
      <c r="K126" s="2">
        <v>5.8299999999999998E-2</v>
      </c>
    </row>
    <row r="127" spans="1:11" x14ac:dyDescent="0.35">
      <c r="A127" t="s">
        <v>33</v>
      </c>
      <c r="B127" t="s">
        <v>40</v>
      </c>
      <c r="C127" s="1">
        <v>45413</v>
      </c>
      <c r="D127">
        <v>105</v>
      </c>
      <c r="E127">
        <v>6</v>
      </c>
      <c r="F127">
        <v>567.03</v>
      </c>
      <c r="G127">
        <v>1</v>
      </c>
      <c r="H127" s="2">
        <v>0.16666666666666666</v>
      </c>
      <c r="I127">
        <v>3496.65</v>
      </c>
      <c r="J127">
        <v>1</v>
      </c>
      <c r="K127" s="2">
        <v>3.0600000000000002E-2</v>
      </c>
    </row>
    <row r="128" spans="1:11" x14ac:dyDescent="0.35">
      <c r="A128" t="s">
        <v>34</v>
      </c>
      <c r="B128" t="s">
        <v>40</v>
      </c>
      <c r="C128" s="1">
        <v>45413</v>
      </c>
      <c r="D128">
        <v>73</v>
      </c>
      <c r="E128">
        <v>8</v>
      </c>
      <c r="F128">
        <v>175.52</v>
      </c>
      <c r="G128">
        <v>7</v>
      </c>
      <c r="H128" s="2">
        <v>0.875</v>
      </c>
      <c r="I128">
        <v>455.32</v>
      </c>
      <c r="J128">
        <v>3</v>
      </c>
      <c r="K128" s="2">
        <v>9.35E-2</v>
      </c>
    </row>
    <row r="129" spans="1:11" x14ac:dyDescent="0.35">
      <c r="A129" t="s">
        <v>35</v>
      </c>
      <c r="B129" t="s">
        <v>40</v>
      </c>
      <c r="C129" s="1">
        <v>45413</v>
      </c>
      <c r="D129">
        <v>111</v>
      </c>
      <c r="E129">
        <v>13</v>
      </c>
      <c r="F129">
        <v>358.31</v>
      </c>
      <c r="G129">
        <v>0</v>
      </c>
      <c r="H129" s="2">
        <v>0</v>
      </c>
      <c r="I129">
        <v>2811.77</v>
      </c>
      <c r="J129">
        <v>2</v>
      </c>
      <c r="K129" s="2">
        <v>2.7099999999999999E-2</v>
      </c>
    </row>
    <row r="130" spans="1:11" x14ac:dyDescent="0.35">
      <c r="A130" t="s">
        <v>37</v>
      </c>
      <c r="B130" t="s">
        <v>40</v>
      </c>
      <c r="C130" s="1">
        <v>45413</v>
      </c>
      <c r="D130">
        <v>38</v>
      </c>
      <c r="E130">
        <v>12</v>
      </c>
      <c r="F130">
        <v>556.33000000000004</v>
      </c>
      <c r="G130">
        <v>4</v>
      </c>
      <c r="H130" s="2">
        <v>0.33333333333333331</v>
      </c>
      <c r="I130">
        <v>241.08</v>
      </c>
      <c r="J130">
        <v>1</v>
      </c>
      <c r="K130" s="2">
        <v>7.0599999999999996E-2</v>
      </c>
    </row>
    <row r="131" spans="1:11" x14ac:dyDescent="0.35">
      <c r="A131" t="s">
        <v>38</v>
      </c>
      <c r="B131" t="s">
        <v>40</v>
      </c>
      <c r="C131" s="1">
        <v>45413</v>
      </c>
      <c r="D131">
        <v>33</v>
      </c>
      <c r="E131">
        <v>17</v>
      </c>
      <c r="F131">
        <v>371.65</v>
      </c>
      <c r="G131">
        <v>9</v>
      </c>
      <c r="H131" s="2">
        <v>0.52941176470588236</v>
      </c>
      <c r="I131">
        <v>4068.75</v>
      </c>
      <c r="J131">
        <v>3</v>
      </c>
      <c r="K131" s="2">
        <v>8.5500000000000007E-2</v>
      </c>
    </row>
    <row r="132" spans="1:11" x14ac:dyDescent="0.35">
      <c r="A132" t="s">
        <v>11</v>
      </c>
      <c r="B132" t="s">
        <v>40</v>
      </c>
      <c r="C132" s="1">
        <v>45444</v>
      </c>
      <c r="D132">
        <v>59</v>
      </c>
      <c r="E132">
        <v>16</v>
      </c>
      <c r="F132">
        <v>359.47</v>
      </c>
      <c r="G132">
        <v>7</v>
      </c>
      <c r="H132" s="2">
        <v>0.4375</v>
      </c>
      <c r="I132">
        <v>3958.94</v>
      </c>
      <c r="J132">
        <v>2</v>
      </c>
      <c r="K132" s="2">
        <v>2.46E-2</v>
      </c>
    </row>
    <row r="133" spans="1:11" x14ac:dyDescent="0.35">
      <c r="A133" t="s">
        <v>13</v>
      </c>
      <c r="B133" t="s">
        <v>40</v>
      </c>
      <c r="C133" s="1">
        <v>45444</v>
      </c>
      <c r="D133">
        <v>71</v>
      </c>
      <c r="E133">
        <v>11</v>
      </c>
      <c r="F133">
        <v>379.33</v>
      </c>
      <c r="G133">
        <v>4</v>
      </c>
      <c r="H133" s="2">
        <v>0.36363636363636365</v>
      </c>
      <c r="I133">
        <v>4003.52</v>
      </c>
      <c r="J133">
        <v>1</v>
      </c>
      <c r="K133" s="2">
        <v>4.2900000000000001E-2</v>
      </c>
    </row>
    <row r="134" spans="1:11" x14ac:dyDescent="0.35">
      <c r="A134" t="s">
        <v>14</v>
      </c>
      <c r="B134" t="s">
        <v>40</v>
      </c>
      <c r="C134" s="1">
        <v>45444</v>
      </c>
      <c r="D134">
        <v>48</v>
      </c>
      <c r="E134">
        <v>14</v>
      </c>
      <c r="F134">
        <v>383.94</v>
      </c>
      <c r="G134">
        <v>3</v>
      </c>
      <c r="H134" s="2">
        <v>0.21428571428571427</v>
      </c>
      <c r="I134">
        <v>3173.36</v>
      </c>
      <c r="J134">
        <v>3</v>
      </c>
      <c r="K134" s="2">
        <v>4.0999999999999995E-2</v>
      </c>
    </row>
    <row r="135" spans="1:11" x14ac:dyDescent="0.35">
      <c r="A135" t="s">
        <v>15</v>
      </c>
      <c r="B135" t="s">
        <v>40</v>
      </c>
      <c r="C135" s="1">
        <v>45444</v>
      </c>
      <c r="D135">
        <v>18</v>
      </c>
      <c r="E135">
        <v>7</v>
      </c>
      <c r="F135">
        <v>85.32</v>
      </c>
      <c r="G135">
        <v>3</v>
      </c>
      <c r="H135" s="2">
        <v>0.42857142857142855</v>
      </c>
      <c r="I135">
        <v>1431.69</v>
      </c>
      <c r="J135">
        <v>2</v>
      </c>
      <c r="K135" s="2">
        <v>3.1600000000000003E-2</v>
      </c>
    </row>
    <row r="136" spans="1:11" x14ac:dyDescent="0.35">
      <c r="A136" t="s">
        <v>16</v>
      </c>
      <c r="B136" t="s">
        <v>40</v>
      </c>
      <c r="C136" s="1">
        <v>45444</v>
      </c>
      <c r="D136">
        <v>93</v>
      </c>
      <c r="E136">
        <v>14</v>
      </c>
      <c r="F136">
        <v>466.81</v>
      </c>
      <c r="G136">
        <v>5</v>
      </c>
      <c r="H136" s="2">
        <v>0.35714285714285715</v>
      </c>
      <c r="I136">
        <v>988.98</v>
      </c>
      <c r="J136">
        <v>1</v>
      </c>
      <c r="K136" s="2">
        <v>4.2300000000000004E-2</v>
      </c>
    </row>
    <row r="137" spans="1:11" x14ac:dyDescent="0.35">
      <c r="A137" t="s">
        <v>17</v>
      </c>
      <c r="B137" t="s">
        <v>41</v>
      </c>
      <c r="C137" s="1">
        <v>45444</v>
      </c>
      <c r="D137">
        <v>49</v>
      </c>
      <c r="E137">
        <v>7</v>
      </c>
      <c r="F137">
        <v>512.88</v>
      </c>
      <c r="G137">
        <v>2</v>
      </c>
      <c r="H137" s="2">
        <v>0.2857142857142857</v>
      </c>
      <c r="I137">
        <v>3545.66</v>
      </c>
      <c r="J137">
        <v>1</v>
      </c>
      <c r="K137" s="2">
        <v>1.2699999999999999E-2</v>
      </c>
    </row>
    <row r="138" spans="1:11" x14ac:dyDescent="0.35">
      <c r="A138" t="s">
        <v>18</v>
      </c>
      <c r="B138" t="s">
        <v>41</v>
      </c>
      <c r="C138" s="1">
        <v>45444</v>
      </c>
      <c r="D138">
        <v>85</v>
      </c>
      <c r="E138">
        <v>17</v>
      </c>
      <c r="F138">
        <v>324.56</v>
      </c>
      <c r="G138">
        <v>3</v>
      </c>
      <c r="H138" s="2">
        <v>0.17647058823529413</v>
      </c>
      <c r="I138">
        <v>2420.5300000000002</v>
      </c>
      <c r="J138">
        <v>3</v>
      </c>
      <c r="K138" s="2">
        <v>8.929999999999999E-2</v>
      </c>
    </row>
    <row r="139" spans="1:11" x14ac:dyDescent="0.35">
      <c r="A139" t="s">
        <v>19</v>
      </c>
      <c r="B139" t="s">
        <v>41</v>
      </c>
      <c r="C139" s="1">
        <v>45444</v>
      </c>
      <c r="D139">
        <v>61</v>
      </c>
      <c r="E139">
        <v>7</v>
      </c>
      <c r="F139">
        <v>219.53</v>
      </c>
      <c r="G139">
        <v>7</v>
      </c>
      <c r="H139" s="2">
        <v>1</v>
      </c>
      <c r="I139">
        <v>3860.12</v>
      </c>
      <c r="J139">
        <v>2</v>
      </c>
      <c r="K139" s="2">
        <v>4.3499999999999997E-2</v>
      </c>
    </row>
    <row r="140" spans="1:11" x14ac:dyDescent="0.35">
      <c r="A140" t="s">
        <v>20</v>
      </c>
      <c r="B140" t="s">
        <v>41</v>
      </c>
      <c r="C140" s="1">
        <v>45444</v>
      </c>
      <c r="D140">
        <v>30</v>
      </c>
      <c r="E140">
        <v>16</v>
      </c>
      <c r="F140">
        <v>353.65</v>
      </c>
      <c r="G140">
        <v>9</v>
      </c>
      <c r="H140" s="2">
        <v>0.5625</v>
      </c>
      <c r="I140">
        <v>1213.5899999999999</v>
      </c>
      <c r="J140">
        <v>1</v>
      </c>
      <c r="K140" s="2">
        <v>6.2E-2</v>
      </c>
    </row>
    <row r="141" spans="1:11" x14ac:dyDescent="0.35">
      <c r="A141" t="s">
        <v>21</v>
      </c>
      <c r="B141" t="s">
        <v>41</v>
      </c>
      <c r="C141" s="1">
        <v>45444</v>
      </c>
      <c r="D141">
        <v>54</v>
      </c>
      <c r="E141">
        <v>16</v>
      </c>
      <c r="F141">
        <v>334.41</v>
      </c>
      <c r="G141">
        <v>9</v>
      </c>
      <c r="H141" s="2">
        <v>0.5625</v>
      </c>
      <c r="I141">
        <v>1056.98</v>
      </c>
      <c r="J141">
        <v>3</v>
      </c>
      <c r="K141" s="2">
        <v>3.5200000000000002E-2</v>
      </c>
    </row>
    <row r="142" spans="1:11" x14ac:dyDescent="0.35">
      <c r="A142" t="s">
        <v>22</v>
      </c>
      <c r="B142" t="s">
        <v>41</v>
      </c>
      <c r="C142" s="1">
        <v>45444</v>
      </c>
      <c r="D142">
        <v>19</v>
      </c>
      <c r="E142">
        <v>7</v>
      </c>
      <c r="F142">
        <v>199.46</v>
      </c>
      <c r="G142">
        <v>7</v>
      </c>
      <c r="H142" s="2">
        <v>1</v>
      </c>
      <c r="I142">
        <v>809.56</v>
      </c>
      <c r="J142">
        <v>2</v>
      </c>
      <c r="K142" s="2">
        <v>7.1399999999999991E-2</v>
      </c>
    </row>
    <row r="143" spans="1:11" x14ac:dyDescent="0.35">
      <c r="A143" t="s">
        <v>23</v>
      </c>
      <c r="B143" t="s">
        <v>41</v>
      </c>
      <c r="C143" s="1">
        <v>45444</v>
      </c>
      <c r="D143">
        <v>40</v>
      </c>
      <c r="E143">
        <v>6</v>
      </c>
      <c r="F143">
        <v>509.67</v>
      </c>
      <c r="G143">
        <v>4</v>
      </c>
      <c r="H143" s="2">
        <v>0.66666666666666663</v>
      </c>
      <c r="I143">
        <v>3330.44</v>
      </c>
      <c r="J143">
        <v>1</v>
      </c>
      <c r="K143" s="2">
        <v>3.8300000000000001E-2</v>
      </c>
    </row>
    <row r="144" spans="1:11" x14ac:dyDescent="0.35">
      <c r="A144" t="s">
        <v>24</v>
      </c>
      <c r="B144" t="s">
        <v>41</v>
      </c>
      <c r="C144" s="1">
        <v>45444</v>
      </c>
      <c r="D144">
        <v>73</v>
      </c>
      <c r="E144">
        <v>21</v>
      </c>
      <c r="F144">
        <v>601.02</v>
      </c>
      <c r="G144">
        <v>2</v>
      </c>
      <c r="H144" s="2">
        <v>9.5238095238095233E-2</v>
      </c>
      <c r="I144">
        <v>364.56</v>
      </c>
      <c r="J144">
        <v>3</v>
      </c>
      <c r="K144" s="2">
        <v>3.4300000000000004E-2</v>
      </c>
    </row>
    <row r="145" spans="1:11" x14ac:dyDescent="0.35">
      <c r="A145" t="s">
        <v>25</v>
      </c>
      <c r="B145" t="s">
        <v>41</v>
      </c>
      <c r="C145" s="1">
        <v>45444</v>
      </c>
      <c r="D145">
        <v>36</v>
      </c>
      <c r="E145">
        <v>9</v>
      </c>
      <c r="F145">
        <v>196.74</v>
      </c>
      <c r="G145">
        <v>1</v>
      </c>
      <c r="H145" s="2">
        <v>0.1111111111111111</v>
      </c>
      <c r="I145">
        <v>3760.57</v>
      </c>
      <c r="J145">
        <v>2</v>
      </c>
      <c r="K145" s="2">
        <v>3.9800000000000002E-2</v>
      </c>
    </row>
    <row r="146" spans="1:11" x14ac:dyDescent="0.35">
      <c r="A146" t="s">
        <v>26</v>
      </c>
      <c r="B146" t="s">
        <v>41</v>
      </c>
      <c r="C146" s="1">
        <v>45444</v>
      </c>
      <c r="D146">
        <v>58</v>
      </c>
      <c r="E146">
        <v>8</v>
      </c>
      <c r="F146">
        <v>196.58</v>
      </c>
      <c r="G146">
        <v>3</v>
      </c>
      <c r="H146" s="2">
        <v>0.375</v>
      </c>
      <c r="I146">
        <v>692.47</v>
      </c>
      <c r="J146">
        <v>1</v>
      </c>
      <c r="K146" s="2">
        <v>3.27E-2</v>
      </c>
    </row>
    <row r="147" spans="1:11" x14ac:dyDescent="0.35">
      <c r="A147" t="s">
        <v>27</v>
      </c>
      <c r="B147" t="s">
        <v>41</v>
      </c>
      <c r="C147" s="1">
        <v>45444</v>
      </c>
      <c r="D147">
        <v>100</v>
      </c>
      <c r="E147">
        <v>5</v>
      </c>
      <c r="F147">
        <v>153.87</v>
      </c>
      <c r="G147">
        <v>2</v>
      </c>
      <c r="H147" s="2">
        <v>0.4</v>
      </c>
      <c r="I147">
        <v>1190.24</v>
      </c>
      <c r="J147">
        <v>3</v>
      </c>
      <c r="K147" s="2">
        <v>8.0600000000000005E-2</v>
      </c>
    </row>
    <row r="148" spans="1:11" x14ac:dyDescent="0.35">
      <c r="A148" t="s">
        <v>28</v>
      </c>
      <c r="B148" t="s">
        <v>41</v>
      </c>
      <c r="C148" s="1">
        <v>45444</v>
      </c>
      <c r="D148">
        <v>93</v>
      </c>
      <c r="E148">
        <v>5</v>
      </c>
      <c r="F148">
        <v>85.65</v>
      </c>
      <c r="G148">
        <v>5</v>
      </c>
      <c r="H148" s="2">
        <v>1</v>
      </c>
      <c r="I148">
        <v>3913.17</v>
      </c>
      <c r="J148">
        <v>2</v>
      </c>
      <c r="K148" s="2">
        <v>9.5700000000000007E-2</v>
      </c>
    </row>
    <row r="149" spans="1:11" x14ac:dyDescent="0.35">
      <c r="A149" t="s">
        <v>29</v>
      </c>
      <c r="B149" t="s">
        <v>41</v>
      </c>
      <c r="C149" s="1">
        <v>45444</v>
      </c>
      <c r="D149">
        <v>28</v>
      </c>
      <c r="E149">
        <v>16</v>
      </c>
      <c r="F149">
        <v>506.95</v>
      </c>
      <c r="G149">
        <v>6</v>
      </c>
      <c r="H149" s="2">
        <v>0.375</v>
      </c>
      <c r="I149">
        <v>3993.03</v>
      </c>
      <c r="J149">
        <v>3</v>
      </c>
      <c r="K149" s="2">
        <v>3.0600000000000002E-2</v>
      </c>
    </row>
    <row r="150" spans="1:11" x14ac:dyDescent="0.35">
      <c r="A150" t="s">
        <v>30</v>
      </c>
      <c r="B150" t="s">
        <v>41</v>
      </c>
      <c r="C150" s="1">
        <v>45444</v>
      </c>
      <c r="D150">
        <v>88</v>
      </c>
      <c r="E150">
        <v>18</v>
      </c>
      <c r="F150">
        <v>181.21</v>
      </c>
      <c r="G150">
        <v>4</v>
      </c>
      <c r="H150" s="2">
        <v>0.22222222222222221</v>
      </c>
      <c r="I150">
        <v>377.13</v>
      </c>
      <c r="J150">
        <v>2</v>
      </c>
      <c r="K150" s="2">
        <v>0.10009999999999999</v>
      </c>
    </row>
    <row r="151" spans="1:11" x14ac:dyDescent="0.35">
      <c r="A151" t="s">
        <v>31</v>
      </c>
      <c r="B151" t="s">
        <v>41</v>
      </c>
      <c r="C151" s="1">
        <v>45444</v>
      </c>
      <c r="D151">
        <v>69</v>
      </c>
      <c r="E151">
        <v>16</v>
      </c>
      <c r="F151">
        <v>495.32</v>
      </c>
      <c r="G151">
        <v>0</v>
      </c>
      <c r="H151" s="2">
        <v>0</v>
      </c>
      <c r="I151">
        <v>1262.99</v>
      </c>
      <c r="J151">
        <v>1</v>
      </c>
      <c r="K151" s="2">
        <v>1E-3</v>
      </c>
    </row>
    <row r="152" spans="1:11" x14ac:dyDescent="0.35">
      <c r="A152" t="s">
        <v>32</v>
      </c>
      <c r="B152" t="s">
        <v>41</v>
      </c>
      <c r="C152" s="1">
        <v>45444</v>
      </c>
      <c r="D152">
        <v>21</v>
      </c>
      <c r="E152">
        <v>16</v>
      </c>
      <c r="F152">
        <v>315.91000000000003</v>
      </c>
      <c r="G152">
        <v>1</v>
      </c>
      <c r="H152" s="2">
        <v>6.25E-2</v>
      </c>
      <c r="I152">
        <v>1455.83</v>
      </c>
      <c r="J152">
        <v>3</v>
      </c>
      <c r="K152" s="2">
        <v>5.1299999999999998E-2</v>
      </c>
    </row>
    <row r="153" spans="1:11" x14ac:dyDescent="0.35">
      <c r="A153" t="s">
        <v>33</v>
      </c>
      <c r="B153" t="s">
        <v>41</v>
      </c>
      <c r="C153" s="1">
        <v>45444</v>
      </c>
      <c r="D153">
        <v>92</v>
      </c>
      <c r="E153">
        <v>5</v>
      </c>
      <c r="F153">
        <v>569.75</v>
      </c>
      <c r="G153">
        <v>2</v>
      </c>
      <c r="H153" s="2">
        <v>0.4</v>
      </c>
      <c r="I153">
        <v>3734.43</v>
      </c>
      <c r="J153">
        <v>2</v>
      </c>
      <c r="K153" s="2">
        <v>2.76E-2</v>
      </c>
    </row>
    <row r="154" spans="1:11" x14ac:dyDescent="0.35">
      <c r="A154" t="s">
        <v>34</v>
      </c>
      <c r="B154" t="s">
        <v>41</v>
      </c>
      <c r="C154" s="1">
        <v>45444</v>
      </c>
      <c r="D154">
        <v>58</v>
      </c>
      <c r="E154">
        <v>7</v>
      </c>
      <c r="F154">
        <v>173.24</v>
      </c>
      <c r="G154">
        <v>7</v>
      </c>
      <c r="H154" s="2">
        <v>1</v>
      </c>
      <c r="I154">
        <v>525.73</v>
      </c>
      <c r="J154">
        <v>1</v>
      </c>
      <c r="K154" s="2">
        <v>8.2299999999999998E-2</v>
      </c>
    </row>
    <row r="155" spans="1:11" x14ac:dyDescent="0.35">
      <c r="A155" t="s">
        <v>35</v>
      </c>
      <c r="B155" t="s">
        <v>41</v>
      </c>
      <c r="C155" s="1">
        <v>45444</v>
      </c>
      <c r="D155">
        <v>114</v>
      </c>
      <c r="E155">
        <v>13</v>
      </c>
      <c r="F155">
        <v>364.35</v>
      </c>
      <c r="G155">
        <v>0</v>
      </c>
      <c r="H155" s="2">
        <v>0</v>
      </c>
      <c r="I155">
        <v>2988.28</v>
      </c>
      <c r="J155">
        <v>3</v>
      </c>
      <c r="K155" s="2">
        <v>2.58E-2</v>
      </c>
    </row>
    <row r="156" spans="1:11" x14ac:dyDescent="0.35">
      <c r="A156" t="s">
        <v>37</v>
      </c>
      <c r="B156" t="s">
        <v>41</v>
      </c>
      <c r="C156" s="1">
        <v>45444</v>
      </c>
      <c r="D156">
        <v>35</v>
      </c>
      <c r="E156">
        <v>12</v>
      </c>
      <c r="F156">
        <v>515.24</v>
      </c>
      <c r="G156">
        <v>5</v>
      </c>
      <c r="H156" s="2">
        <v>0.41666666666666669</v>
      </c>
      <c r="I156">
        <v>224.24</v>
      </c>
      <c r="J156">
        <v>2</v>
      </c>
      <c r="K156" s="2">
        <v>6.9800000000000001E-2</v>
      </c>
    </row>
    <row r="157" spans="1:11" x14ac:dyDescent="0.35">
      <c r="A157" t="s">
        <v>38</v>
      </c>
      <c r="B157" t="s">
        <v>41</v>
      </c>
      <c r="C157" s="1">
        <v>45444</v>
      </c>
      <c r="D157">
        <v>35</v>
      </c>
      <c r="E157">
        <v>16</v>
      </c>
      <c r="F157">
        <v>351.71</v>
      </c>
      <c r="G157">
        <v>9</v>
      </c>
      <c r="H157" s="2">
        <v>0.5625</v>
      </c>
      <c r="I157">
        <v>3984.69</v>
      </c>
      <c r="J157">
        <v>1</v>
      </c>
      <c r="K157" s="2">
        <v>7.4099999999999999E-2</v>
      </c>
    </row>
    <row r="158" spans="1:11" x14ac:dyDescent="0.35">
      <c r="A158" t="s">
        <v>11</v>
      </c>
      <c r="B158" t="s">
        <v>41</v>
      </c>
      <c r="C158" s="1">
        <v>45474</v>
      </c>
      <c r="D158">
        <v>71</v>
      </c>
      <c r="E158">
        <v>17</v>
      </c>
      <c r="F158">
        <v>360.1</v>
      </c>
      <c r="G158">
        <v>6</v>
      </c>
      <c r="H158" s="2">
        <v>0.35294117647058826</v>
      </c>
      <c r="I158">
        <v>4444.83</v>
      </c>
      <c r="J158">
        <v>3</v>
      </c>
      <c r="K158" s="2">
        <v>2.9500000000000002E-2</v>
      </c>
    </row>
    <row r="159" spans="1:11" x14ac:dyDescent="0.35">
      <c r="A159" t="s">
        <v>13</v>
      </c>
      <c r="B159" t="s">
        <v>41</v>
      </c>
      <c r="C159" s="1">
        <v>45474</v>
      </c>
      <c r="D159">
        <v>62</v>
      </c>
      <c r="E159">
        <v>13</v>
      </c>
      <c r="F159">
        <v>364.64</v>
      </c>
      <c r="G159">
        <v>4</v>
      </c>
      <c r="H159" s="2">
        <v>0.30769230769230771</v>
      </c>
      <c r="I159">
        <v>3704.33</v>
      </c>
      <c r="J159">
        <v>2</v>
      </c>
      <c r="K159" s="2">
        <v>3.7499999999999999E-2</v>
      </c>
    </row>
    <row r="160" spans="1:11" x14ac:dyDescent="0.35">
      <c r="A160" t="s">
        <v>14</v>
      </c>
      <c r="B160" t="s">
        <v>41</v>
      </c>
      <c r="C160" s="1">
        <v>45474</v>
      </c>
      <c r="D160">
        <v>53</v>
      </c>
      <c r="E160">
        <v>14</v>
      </c>
      <c r="F160">
        <v>367.56</v>
      </c>
      <c r="G160">
        <v>2</v>
      </c>
      <c r="H160" s="2">
        <v>0.14285714285714285</v>
      </c>
      <c r="I160">
        <v>3514.07</v>
      </c>
      <c r="J160">
        <v>1</v>
      </c>
      <c r="K160" s="2">
        <v>4.0099999999999997E-2</v>
      </c>
    </row>
    <row r="161" spans="1:11" x14ac:dyDescent="0.35">
      <c r="A161" t="s">
        <v>15</v>
      </c>
      <c r="B161" t="s">
        <v>41</v>
      </c>
      <c r="C161" s="1">
        <v>45474</v>
      </c>
      <c r="D161">
        <v>18</v>
      </c>
      <c r="E161">
        <v>6</v>
      </c>
      <c r="F161">
        <v>76.27</v>
      </c>
      <c r="G161">
        <v>4</v>
      </c>
      <c r="H161" s="2">
        <v>0.66666666666666663</v>
      </c>
      <c r="I161">
        <v>1597.98</v>
      </c>
      <c r="J161">
        <v>1</v>
      </c>
      <c r="K161" s="2">
        <v>2.81E-2</v>
      </c>
    </row>
    <row r="162" spans="1:11" x14ac:dyDescent="0.35">
      <c r="A162" t="s">
        <v>16</v>
      </c>
      <c r="B162" t="s">
        <v>41</v>
      </c>
      <c r="C162" s="1">
        <v>45474</v>
      </c>
      <c r="D162">
        <v>71</v>
      </c>
      <c r="E162">
        <v>12</v>
      </c>
      <c r="F162">
        <v>487.04</v>
      </c>
      <c r="G162">
        <v>5</v>
      </c>
      <c r="H162" s="2">
        <v>0.41666666666666669</v>
      </c>
      <c r="I162">
        <v>1004.9</v>
      </c>
      <c r="J162">
        <v>3</v>
      </c>
      <c r="K162" s="2">
        <v>4.2099999999999999E-2</v>
      </c>
    </row>
    <row r="163" spans="1:11" x14ac:dyDescent="0.35">
      <c r="A163" t="s">
        <v>17</v>
      </c>
      <c r="B163" t="s">
        <v>41</v>
      </c>
      <c r="C163" s="1">
        <v>45474</v>
      </c>
      <c r="D163">
        <v>70</v>
      </c>
      <c r="E163">
        <v>5</v>
      </c>
      <c r="F163">
        <v>491.31</v>
      </c>
      <c r="G163">
        <v>3</v>
      </c>
      <c r="H163" s="2">
        <v>0.6</v>
      </c>
      <c r="I163">
        <v>3289.06</v>
      </c>
      <c r="J163">
        <v>2</v>
      </c>
      <c r="K163" s="2">
        <v>1.1299999999999999E-2</v>
      </c>
    </row>
    <row r="164" spans="1:11" x14ac:dyDescent="0.35">
      <c r="A164" t="s">
        <v>18</v>
      </c>
      <c r="B164" t="s">
        <v>41</v>
      </c>
      <c r="C164" s="1">
        <v>45474</v>
      </c>
      <c r="D164">
        <v>77</v>
      </c>
      <c r="E164">
        <v>15</v>
      </c>
      <c r="F164">
        <v>282.58999999999997</v>
      </c>
      <c r="G164">
        <v>2</v>
      </c>
      <c r="H164" s="2">
        <v>0.13333333333333333</v>
      </c>
      <c r="I164">
        <v>2296.14</v>
      </c>
      <c r="J164">
        <v>1</v>
      </c>
      <c r="K164" s="2">
        <v>9.5799999999999996E-2</v>
      </c>
    </row>
    <row r="165" spans="1:11" x14ac:dyDescent="0.35">
      <c r="A165" t="s">
        <v>19</v>
      </c>
      <c r="B165" t="s">
        <v>41</v>
      </c>
      <c r="C165" s="1">
        <v>45474</v>
      </c>
      <c r="D165">
        <v>50</v>
      </c>
      <c r="E165">
        <v>9</v>
      </c>
      <c r="F165">
        <v>246.06</v>
      </c>
      <c r="G165">
        <v>5</v>
      </c>
      <c r="H165" s="2">
        <v>0.55555555555555558</v>
      </c>
      <c r="I165">
        <v>4227.22</v>
      </c>
      <c r="J165">
        <v>3</v>
      </c>
      <c r="K165" s="2">
        <v>3.7200000000000004E-2</v>
      </c>
    </row>
    <row r="166" spans="1:11" x14ac:dyDescent="0.35">
      <c r="A166" t="s">
        <v>20</v>
      </c>
      <c r="B166" t="s">
        <v>41</v>
      </c>
      <c r="C166" s="1">
        <v>45474</v>
      </c>
      <c r="D166">
        <v>31</v>
      </c>
      <c r="E166">
        <v>15</v>
      </c>
      <c r="F166">
        <v>347.38</v>
      </c>
      <c r="G166">
        <v>10</v>
      </c>
      <c r="H166" s="2">
        <v>0.66666666666666663</v>
      </c>
      <c r="I166">
        <v>1101.06</v>
      </c>
      <c r="J166">
        <v>2</v>
      </c>
      <c r="K166" s="2">
        <v>6.0100000000000001E-2</v>
      </c>
    </row>
    <row r="167" spans="1:11" x14ac:dyDescent="0.35">
      <c r="A167" t="s">
        <v>21</v>
      </c>
      <c r="B167" t="s">
        <v>41</v>
      </c>
      <c r="C167" s="1">
        <v>45474</v>
      </c>
      <c r="D167">
        <v>77</v>
      </c>
      <c r="E167">
        <v>16</v>
      </c>
      <c r="F167">
        <v>335.59</v>
      </c>
      <c r="G167">
        <v>7</v>
      </c>
      <c r="H167" s="2">
        <v>0.4375</v>
      </c>
      <c r="I167">
        <v>1087.4100000000001</v>
      </c>
      <c r="J167">
        <v>1</v>
      </c>
      <c r="K167" s="2">
        <v>3.6900000000000002E-2</v>
      </c>
    </row>
    <row r="168" spans="1:11" x14ac:dyDescent="0.35">
      <c r="A168" t="s">
        <v>22</v>
      </c>
      <c r="B168" t="s">
        <v>41</v>
      </c>
      <c r="C168" s="1">
        <v>45474</v>
      </c>
      <c r="D168">
        <v>17</v>
      </c>
      <c r="E168">
        <v>8</v>
      </c>
      <c r="F168">
        <v>208.21</v>
      </c>
      <c r="G168">
        <v>4</v>
      </c>
      <c r="H168" s="2">
        <v>0.5</v>
      </c>
      <c r="I168">
        <v>828.73</v>
      </c>
      <c r="J168">
        <v>3</v>
      </c>
      <c r="K168" s="2">
        <v>7.4200000000000002E-2</v>
      </c>
    </row>
    <row r="169" spans="1:11" x14ac:dyDescent="0.35">
      <c r="A169" t="s">
        <v>23</v>
      </c>
      <c r="B169" t="s">
        <v>41</v>
      </c>
      <c r="C169" s="1">
        <v>45474</v>
      </c>
      <c r="D169">
        <v>32</v>
      </c>
      <c r="E169">
        <v>6</v>
      </c>
      <c r="F169">
        <v>553.58000000000004</v>
      </c>
      <c r="G169">
        <v>3</v>
      </c>
      <c r="H169" s="2">
        <v>0.5</v>
      </c>
      <c r="I169">
        <v>3939.56</v>
      </c>
      <c r="J169">
        <v>2</v>
      </c>
      <c r="K169" s="2">
        <v>3.78E-2</v>
      </c>
    </row>
    <row r="170" spans="1:11" x14ac:dyDescent="0.35">
      <c r="A170" t="s">
        <v>24</v>
      </c>
      <c r="B170" t="s">
        <v>41</v>
      </c>
      <c r="C170" s="1">
        <v>45474</v>
      </c>
      <c r="D170">
        <v>72</v>
      </c>
      <c r="E170">
        <v>21</v>
      </c>
      <c r="F170">
        <v>604.57000000000005</v>
      </c>
      <c r="G170">
        <v>2</v>
      </c>
      <c r="H170" s="2">
        <v>9.5238095238095233E-2</v>
      </c>
      <c r="I170">
        <v>327.82</v>
      </c>
      <c r="J170">
        <v>1</v>
      </c>
      <c r="K170" s="2">
        <v>3.6699999999999997E-2</v>
      </c>
    </row>
    <row r="171" spans="1:11" x14ac:dyDescent="0.35">
      <c r="A171" t="s">
        <v>25</v>
      </c>
      <c r="B171" t="s">
        <v>41</v>
      </c>
      <c r="C171" s="1">
        <v>45474</v>
      </c>
      <c r="D171">
        <v>34</v>
      </c>
      <c r="E171">
        <v>7</v>
      </c>
      <c r="F171">
        <v>199.39</v>
      </c>
      <c r="G171">
        <v>1</v>
      </c>
      <c r="H171" s="2">
        <v>0.14285714285714285</v>
      </c>
      <c r="I171">
        <v>3767.74</v>
      </c>
      <c r="J171">
        <v>3</v>
      </c>
      <c r="K171" s="2">
        <v>3.85E-2</v>
      </c>
    </row>
    <row r="172" spans="1:11" x14ac:dyDescent="0.35">
      <c r="A172" t="s">
        <v>26</v>
      </c>
      <c r="B172" t="s">
        <v>41</v>
      </c>
      <c r="C172" s="1">
        <v>45474</v>
      </c>
      <c r="D172">
        <v>71</v>
      </c>
      <c r="E172">
        <v>9</v>
      </c>
      <c r="F172">
        <v>220.4</v>
      </c>
      <c r="G172">
        <v>2</v>
      </c>
      <c r="H172" s="2">
        <v>0.22222222222222221</v>
      </c>
      <c r="I172">
        <v>692.29</v>
      </c>
      <c r="J172">
        <v>2</v>
      </c>
      <c r="K172" s="2">
        <v>2.8999999999999998E-2</v>
      </c>
    </row>
    <row r="173" spans="1:11" x14ac:dyDescent="0.35">
      <c r="A173" t="s">
        <v>27</v>
      </c>
      <c r="B173" t="s">
        <v>41</v>
      </c>
      <c r="C173" s="1">
        <v>45474</v>
      </c>
      <c r="D173">
        <v>83</v>
      </c>
      <c r="E173">
        <v>5</v>
      </c>
      <c r="F173">
        <v>166.85</v>
      </c>
      <c r="G173">
        <v>4</v>
      </c>
      <c r="H173" s="2">
        <v>0.8</v>
      </c>
      <c r="I173">
        <v>1364.24</v>
      </c>
      <c r="J173">
        <v>1</v>
      </c>
      <c r="K173" s="2">
        <v>8.3100000000000007E-2</v>
      </c>
    </row>
    <row r="174" spans="1:11" x14ac:dyDescent="0.35">
      <c r="A174" t="s">
        <v>28</v>
      </c>
      <c r="B174" t="s">
        <v>41</v>
      </c>
      <c r="C174" s="1">
        <v>45474</v>
      </c>
      <c r="D174">
        <v>71</v>
      </c>
      <c r="E174">
        <v>7</v>
      </c>
      <c r="F174">
        <v>78.53</v>
      </c>
      <c r="G174">
        <v>4</v>
      </c>
      <c r="H174" s="2">
        <v>0.5714285714285714</v>
      </c>
      <c r="I174">
        <v>3652.64</v>
      </c>
      <c r="J174">
        <v>3</v>
      </c>
      <c r="K174" s="2">
        <v>8.6999999999999994E-2</v>
      </c>
    </row>
    <row r="175" spans="1:11" x14ac:dyDescent="0.35">
      <c r="A175" t="s">
        <v>29</v>
      </c>
      <c r="B175" t="s">
        <v>41</v>
      </c>
      <c r="C175" s="1">
        <v>45474</v>
      </c>
      <c r="D175">
        <v>24</v>
      </c>
      <c r="E175">
        <v>13</v>
      </c>
      <c r="F175">
        <v>471.72</v>
      </c>
      <c r="G175">
        <v>7</v>
      </c>
      <c r="H175" s="2">
        <v>0.53846153846153844</v>
      </c>
      <c r="I175">
        <v>3588.89</v>
      </c>
      <c r="J175">
        <v>2</v>
      </c>
      <c r="K175" s="2">
        <v>3.5400000000000001E-2</v>
      </c>
    </row>
    <row r="176" spans="1:11" x14ac:dyDescent="0.35">
      <c r="A176" t="s">
        <v>30</v>
      </c>
      <c r="B176" t="s">
        <v>41</v>
      </c>
      <c r="C176" s="1">
        <v>45474</v>
      </c>
      <c r="D176">
        <v>75</v>
      </c>
      <c r="E176">
        <v>17</v>
      </c>
      <c r="F176">
        <v>176.07</v>
      </c>
      <c r="G176">
        <v>5</v>
      </c>
      <c r="H176" s="2">
        <v>0.29411764705882354</v>
      </c>
      <c r="I176">
        <v>458.18</v>
      </c>
      <c r="J176">
        <v>1</v>
      </c>
      <c r="K176" s="2">
        <v>9.9399999999999988E-2</v>
      </c>
    </row>
    <row r="177" spans="1:11" x14ac:dyDescent="0.35">
      <c r="A177" t="s">
        <v>31</v>
      </c>
      <c r="B177" t="s">
        <v>41</v>
      </c>
      <c r="C177" s="1">
        <v>45474</v>
      </c>
      <c r="D177">
        <v>76</v>
      </c>
      <c r="E177">
        <v>11</v>
      </c>
      <c r="F177">
        <v>486.93</v>
      </c>
      <c r="G177">
        <v>0</v>
      </c>
      <c r="H177" s="2">
        <v>0</v>
      </c>
      <c r="I177">
        <v>1219.29</v>
      </c>
      <c r="J177">
        <v>3</v>
      </c>
      <c r="K177" s="2">
        <v>1E-3</v>
      </c>
    </row>
    <row r="178" spans="1:11" x14ac:dyDescent="0.35">
      <c r="A178" t="s">
        <v>32</v>
      </c>
      <c r="B178" t="s">
        <v>41</v>
      </c>
      <c r="C178" s="1">
        <v>45474</v>
      </c>
      <c r="D178">
        <v>20</v>
      </c>
      <c r="E178">
        <v>14</v>
      </c>
      <c r="F178">
        <v>283.66000000000003</v>
      </c>
      <c r="G178">
        <v>2</v>
      </c>
      <c r="H178" s="2">
        <v>0.14285714285714285</v>
      </c>
      <c r="I178">
        <v>1494.14</v>
      </c>
      <c r="J178">
        <v>2</v>
      </c>
      <c r="K178" s="2">
        <v>5.7800000000000004E-2</v>
      </c>
    </row>
    <row r="179" spans="1:11" x14ac:dyDescent="0.35">
      <c r="A179" t="s">
        <v>33</v>
      </c>
      <c r="B179" t="s">
        <v>41</v>
      </c>
      <c r="C179" s="1">
        <v>45474</v>
      </c>
      <c r="D179">
        <v>79</v>
      </c>
      <c r="E179">
        <v>6</v>
      </c>
      <c r="F179">
        <v>536.04999999999995</v>
      </c>
      <c r="G179">
        <v>1</v>
      </c>
      <c r="H179" s="2">
        <v>0.16666666666666666</v>
      </c>
      <c r="I179">
        <v>3682.29</v>
      </c>
      <c r="J179">
        <v>1</v>
      </c>
      <c r="K179" s="2">
        <v>3.2099999999999997E-2</v>
      </c>
    </row>
    <row r="180" spans="1:11" x14ac:dyDescent="0.35">
      <c r="A180" t="s">
        <v>34</v>
      </c>
      <c r="B180" t="s">
        <v>41</v>
      </c>
      <c r="C180" s="1">
        <v>45474</v>
      </c>
      <c r="D180">
        <v>82</v>
      </c>
      <c r="E180">
        <v>9</v>
      </c>
      <c r="F180">
        <v>171.86</v>
      </c>
      <c r="G180">
        <v>7</v>
      </c>
      <c r="H180" s="2">
        <v>0.77777777777777779</v>
      </c>
      <c r="I180">
        <v>506.88</v>
      </c>
      <c r="J180">
        <v>3</v>
      </c>
      <c r="K180" s="2">
        <v>9.4100000000000003E-2</v>
      </c>
    </row>
    <row r="181" spans="1:11" x14ac:dyDescent="0.35">
      <c r="A181" t="s">
        <v>35</v>
      </c>
      <c r="B181" t="s">
        <v>41</v>
      </c>
      <c r="C181" s="1">
        <v>45474</v>
      </c>
      <c r="D181">
        <v>103</v>
      </c>
      <c r="E181">
        <v>15</v>
      </c>
      <c r="F181">
        <v>359.16</v>
      </c>
      <c r="G181">
        <v>1</v>
      </c>
      <c r="H181" s="2">
        <v>6.6666666666666666E-2</v>
      </c>
      <c r="I181">
        <v>2949.94</v>
      </c>
      <c r="J181">
        <v>2</v>
      </c>
      <c r="K181" s="2">
        <v>2.3599999999999999E-2</v>
      </c>
    </row>
    <row r="182" spans="1:11" x14ac:dyDescent="0.35">
      <c r="A182" t="s">
        <v>37</v>
      </c>
      <c r="B182" t="s">
        <v>41</v>
      </c>
      <c r="C182" s="1">
        <v>45474</v>
      </c>
      <c r="D182">
        <v>41</v>
      </c>
      <c r="E182">
        <v>9</v>
      </c>
      <c r="F182">
        <v>569.97</v>
      </c>
      <c r="G182">
        <v>5</v>
      </c>
      <c r="H182" s="2">
        <v>0.55555555555555558</v>
      </c>
      <c r="I182">
        <v>259.86</v>
      </c>
      <c r="J182">
        <v>1</v>
      </c>
      <c r="K182" s="2">
        <v>6.3299999999999995E-2</v>
      </c>
    </row>
    <row r="183" spans="1:11" x14ac:dyDescent="0.35">
      <c r="A183" t="s">
        <v>38</v>
      </c>
      <c r="B183" t="s">
        <v>41</v>
      </c>
      <c r="C183" s="1">
        <v>45474</v>
      </c>
      <c r="D183">
        <v>38</v>
      </c>
      <c r="E183">
        <v>14</v>
      </c>
      <c r="F183">
        <v>359.22</v>
      </c>
      <c r="G183">
        <v>8</v>
      </c>
      <c r="H183" s="2">
        <v>0.5714285714285714</v>
      </c>
      <c r="I183">
        <v>3846.34</v>
      </c>
      <c r="J183">
        <v>3</v>
      </c>
      <c r="K183" s="2">
        <v>8.5900000000000004E-2</v>
      </c>
    </row>
    <row r="184" spans="1:11" x14ac:dyDescent="0.35">
      <c r="A184" t="s">
        <v>11</v>
      </c>
      <c r="B184" t="s">
        <v>41</v>
      </c>
      <c r="C184" s="1">
        <v>45505</v>
      </c>
      <c r="D184">
        <v>71</v>
      </c>
      <c r="E184">
        <v>15</v>
      </c>
      <c r="F184">
        <v>297.05</v>
      </c>
      <c r="G184">
        <v>6</v>
      </c>
      <c r="H184" s="2">
        <v>0.4</v>
      </c>
      <c r="I184">
        <v>4043.62</v>
      </c>
      <c r="J184">
        <v>2</v>
      </c>
      <c r="K184" s="2">
        <v>2.7200000000000002E-2</v>
      </c>
    </row>
    <row r="185" spans="1:11" x14ac:dyDescent="0.35">
      <c r="A185" t="s">
        <v>13</v>
      </c>
      <c r="B185" t="s">
        <v>41</v>
      </c>
      <c r="C185" s="1">
        <v>45505</v>
      </c>
      <c r="D185">
        <v>66</v>
      </c>
      <c r="E185">
        <v>13</v>
      </c>
      <c r="F185">
        <v>376.76</v>
      </c>
      <c r="G185">
        <v>5</v>
      </c>
      <c r="H185" s="2">
        <v>0.38461538461538464</v>
      </c>
      <c r="I185">
        <v>3819.73</v>
      </c>
      <c r="J185">
        <v>1</v>
      </c>
      <c r="K185" s="2">
        <v>4.4900000000000002E-2</v>
      </c>
    </row>
    <row r="186" spans="1:11" x14ac:dyDescent="0.35">
      <c r="A186" t="s">
        <v>14</v>
      </c>
      <c r="B186" t="s">
        <v>41</v>
      </c>
      <c r="C186" s="1">
        <v>45505</v>
      </c>
      <c r="D186">
        <v>53</v>
      </c>
      <c r="E186">
        <v>15</v>
      </c>
      <c r="F186">
        <v>379.29</v>
      </c>
      <c r="G186">
        <v>2</v>
      </c>
      <c r="H186" s="2">
        <v>0.13333333333333333</v>
      </c>
      <c r="I186">
        <v>3409.69</v>
      </c>
      <c r="J186">
        <v>1</v>
      </c>
      <c r="K186" s="2">
        <v>4.41E-2</v>
      </c>
    </row>
    <row r="187" spans="1:11" x14ac:dyDescent="0.35">
      <c r="A187" t="s">
        <v>15</v>
      </c>
      <c r="B187" t="s">
        <v>41</v>
      </c>
      <c r="C187" s="1">
        <v>45505</v>
      </c>
      <c r="D187">
        <v>18</v>
      </c>
      <c r="E187">
        <v>8</v>
      </c>
      <c r="F187">
        <v>82.91</v>
      </c>
      <c r="G187">
        <v>3</v>
      </c>
      <c r="H187" s="2">
        <v>0.375</v>
      </c>
      <c r="I187">
        <v>1387.86</v>
      </c>
      <c r="J187">
        <v>3</v>
      </c>
      <c r="K187" s="2">
        <v>3.0099999999999998E-2</v>
      </c>
    </row>
    <row r="188" spans="1:11" x14ac:dyDescent="0.35">
      <c r="A188" t="s">
        <v>16</v>
      </c>
      <c r="B188" t="s">
        <v>41</v>
      </c>
      <c r="C188" s="1">
        <v>45505</v>
      </c>
      <c r="D188">
        <v>72</v>
      </c>
      <c r="E188">
        <v>14</v>
      </c>
      <c r="F188">
        <v>437.47</v>
      </c>
      <c r="G188">
        <v>4</v>
      </c>
      <c r="H188" s="2">
        <v>0.2857142857142857</v>
      </c>
      <c r="I188">
        <v>958.02</v>
      </c>
      <c r="J188">
        <v>2</v>
      </c>
      <c r="K188" s="2">
        <v>3.9100000000000003E-2</v>
      </c>
    </row>
    <row r="189" spans="1:11" x14ac:dyDescent="0.35">
      <c r="A189" t="s">
        <v>17</v>
      </c>
      <c r="B189" t="s">
        <v>41</v>
      </c>
      <c r="C189" s="1">
        <v>45505</v>
      </c>
      <c r="D189">
        <v>64</v>
      </c>
      <c r="E189">
        <v>7</v>
      </c>
      <c r="F189">
        <v>554.20000000000005</v>
      </c>
      <c r="G189">
        <v>2</v>
      </c>
      <c r="H189" s="2">
        <v>0.2857142857142857</v>
      </c>
      <c r="I189">
        <v>3620.9</v>
      </c>
      <c r="J189">
        <v>1</v>
      </c>
      <c r="K189" s="2">
        <v>1.23E-2</v>
      </c>
    </row>
    <row r="190" spans="1:11" x14ac:dyDescent="0.35">
      <c r="A190" t="s">
        <v>18</v>
      </c>
      <c r="B190" t="s">
        <v>41</v>
      </c>
      <c r="C190" s="1">
        <v>45505</v>
      </c>
      <c r="D190">
        <v>76</v>
      </c>
      <c r="E190">
        <v>21</v>
      </c>
      <c r="F190">
        <v>293.93</v>
      </c>
      <c r="G190">
        <v>2</v>
      </c>
      <c r="H190" s="2">
        <v>9.5238095238095233E-2</v>
      </c>
      <c r="I190">
        <v>2531.4</v>
      </c>
      <c r="J190">
        <v>3</v>
      </c>
      <c r="K190" s="2">
        <v>0.1012</v>
      </c>
    </row>
    <row r="191" spans="1:11" x14ac:dyDescent="0.35">
      <c r="A191" t="s">
        <v>19</v>
      </c>
      <c r="B191" t="s">
        <v>41</v>
      </c>
      <c r="C191" s="1">
        <v>45505</v>
      </c>
      <c r="D191">
        <v>64</v>
      </c>
      <c r="E191">
        <v>9</v>
      </c>
      <c r="F191">
        <v>255.17</v>
      </c>
      <c r="G191">
        <v>6</v>
      </c>
      <c r="H191" s="2">
        <v>0.66666666666666663</v>
      </c>
      <c r="I191">
        <v>4136.6899999999996</v>
      </c>
      <c r="J191">
        <v>2</v>
      </c>
      <c r="K191" s="2">
        <v>3.8199999999999998E-2</v>
      </c>
    </row>
    <row r="192" spans="1:11" x14ac:dyDescent="0.35">
      <c r="A192" t="s">
        <v>20</v>
      </c>
      <c r="B192" t="s">
        <v>41</v>
      </c>
      <c r="C192" s="1">
        <v>45505</v>
      </c>
      <c r="D192">
        <v>26</v>
      </c>
      <c r="E192">
        <v>17</v>
      </c>
      <c r="F192">
        <v>391.73</v>
      </c>
      <c r="G192">
        <v>7</v>
      </c>
      <c r="H192" s="2">
        <v>0.41176470588235292</v>
      </c>
      <c r="I192">
        <v>1166.55</v>
      </c>
      <c r="J192">
        <v>1</v>
      </c>
      <c r="K192" s="2">
        <v>6.1200000000000004E-2</v>
      </c>
    </row>
    <row r="193" spans="1:11" x14ac:dyDescent="0.35">
      <c r="A193" t="s">
        <v>21</v>
      </c>
      <c r="B193" t="s">
        <v>41</v>
      </c>
      <c r="C193" s="1">
        <v>45505</v>
      </c>
      <c r="D193">
        <v>65</v>
      </c>
      <c r="E193">
        <v>13</v>
      </c>
      <c r="F193">
        <v>324.26</v>
      </c>
      <c r="G193">
        <v>7</v>
      </c>
      <c r="H193" s="2">
        <v>0.53846153846153844</v>
      </c>
      <c r="I193">
        <v>1044.8599999999999</v>
      </c>
      <c r="J193">
        <v>3</v>
      </c>
      <c r="K193" s="2">
        <v>3.5200000000000002E-2</v>
      </c>
    </row>
    <row r="194" spans="1:11" x14ac:dyDescent="0.35">
      <c r="A194" t="s">
        <v>22</v>
      </c>
      <c r="B194" t="s">
        <v>41</v>
      </c>
      <c r="C194" s="1">
        <v>45505</v>
      </c>
      <c r="D194">
        <v>22</v>
      </c>
      <c r="E194">
        <v>9</v>
      </c>
      <c r="F194">
        <v>211.28</v>
      </c>
      <c r="G194">
        <v>8</v>
      </c>
      <c r="H194" s="2">
        <v>0.88888888888888884</v>
      </c>
      <c r="I194">
        <v>772.77</v>
      </c>
      <c r="J194">
        <v>2</v>
      </c>
      <c r="K194" s="2">
        <v>8.0600000000000005E-2</v>
      </c>
    </row>
    <row r="195" spans="1:11" x14ac:dyDescent="0.35">
      <c r="A195" t="s">
        <v>23</v>
      </c>
      <c r="B195" t="s">
        <v>41</v>
      </c>
      <c r="C195" s="1">
        <v>45505</v>
      </c>
      <c r="D195">
        <v>30</v>
      </c>
      <c r="E195">
        <v>6</v>
      </c>
      <c r="F195">
        <v>549.26</v>
      </c>
      <c r="G195">
        <v>2</v>
      </c>
      <c r="H195" s="2">
        <v>0.33333333333333331</v>
      </c>
      <c r="I195">
        <v>3868.36</v>
      </c>
      <c r="J195">
        <v>1</v>
      </c>
      <c r="K195" s="2">
        <v>4.2800000000000005E-2</v>
      </c>
    </row>
    <row r="196" spans="1:11" x14ac:dyDescent="0.35">
      <c r="A196" t="s">
        <v>24</v>
      </c>
      <c r="B196" t="s">
        <v>41</v>
      </c>
      <c r="C196" s="1">
        <v>45505</v>
      </c>
      <c r="D196">
        <v>83</v>
      </c>
      <c r="E196">
        <v>15</v>
      </c>
      <c r="F196">
        <v>601.05999999999995</v>
      </c>
      <c r="G196">
        <v>3</v>
      </c>
      <c r="H196" s="2">
        <v>0.2</v>
      </c>
      <c r="I196">
        <v>350.62</v>
      </c>
      <c r="J196">
        <v>3</v>
      </c>
      <c r="K196" s="2">
        <v>3.6600000000000001E-2</v>
      </c>
    </row>
    <row r="197" spans="1:11" x14ac:dyDescent="0.35">
      <c r="A197" t="s">
        <v>25</v>
      </c>
      <c r="B197" t="s">
        <v>41</v>
      </c>
      <c r="C197" s="1">
        <v>45505</v>
      </c>
      <c r="D197">
        <v>35</v>
      </c>
      <c r="E197">
        <v>6</v>
      </c>
      <c r="F197">
        <v>192.19</v>
      </c>
      <c r="G197">
        <v>1</v>
      </c>
      <c r="H197" s="2">
        <v>0.16666666666666666</v>
      </c>
      <c r="I197">
        <v>3963.32</v>
      </c>
      <c r="J197">
        <v>2</v>
      </c>
      <c r="K197" s="2">
        <v>3.9800000000000002E-2</v>
      </c>
    </row>
    <row r="198" spans="1:11" x14ac:dyDescent="0.35">
      <c r="A198" t="s">
        <v>26</v>
      </c>
      <c r="B198" t="s">
        <v>41</v>
      </c>
      <c r="C198" s="1">
        <v>45505</v>
      </c>
      <c r="D198">
        <v>73</v>
      </c>
      <c r="E198">
        <v>8</v>
      </c>
      <c r="F198">
        <v>191.76</v>
      </c>
      <c r="G198">
        <v>3</v>
      </c>
      <c r="H198" s="2">
        <v>0.375</v>
      </c>
      <c r="I198">
        <v>675.97</v>
      </c>
      <c r="J198">
        <v>3</v>
      </c>
      <c r="K198" s="2">
        <v>3.0200000000000001E-2</v>
      </c>
    </row>
    <row r="199" spans="1:11" x14ac:dyDescent="0.35">
      <c r="A199" t="s">
        <v>27</v>
      </c>
      <c r="B199" t="s">
        <v>41</v>
      </c>
      <c r="C199" s="1">
        <v>45505</v>
      </c>
      <c r="D199">
        <v>104</v>
      </c>
      <c r="E199">
        <v>4</v>
      </c>
      <c r="F199">
        <v>169.75</v>
      </c>
      <c r="G199">
        <v>3</v>
      </c>
      <c r="H199" s="2">
        <v>0.75</v>
      </c>
      <c r="I199">
        <v>1255.83</v>
      </c>
      <c r="J199">
        <v>2</v>
      </c>
      <c r="K199" s="2">
        <v>7.7600000000000002E-2</v>
      </c>
    </row>
    <row r="200" spans="1:11" x14ac:dyDescent="0.35">
      <c r="A200" t="s">
        <v>28</v>
      </c>
      <c r="B200" t="s">
        <v>41</v>
      </c>
      <c r="C200" s="1">
        <v>45505</v>
      </c>
      <c r="D200">
        <v>71</v>
      </c>
      <c r="E200">
        <v>6</v>
      </c>
      <c r="F200">
        <v>87.5</v>
      </c>
      <c r="G200">
        <v>3</v>
      </c>
      <c r="H200" s="2">
        <v>0.5</v>
      </c>
      <c r="I200">
        <v>3666.64</v>
      </c>
      <c r="J200">
        <v>1</v>
      </c>
      <c r="K200" s="2">
        <v>9.1300000000000006E-2</v>
      </c>
    </row>
    <row r="201" spans="1:11" x14ac:dyDescent="0.35">
      <c r="A201" t="s">
        <v>29</v>
      </c>
      <c r="B201" t="s">
        <v>41</v>
      </c>
      <c r="C201" s="1">
        <v>45505</v>
      </c>
      <c r="D201">
        <v>22</v>
      </c>
      <c r="E201">
        <v>14</v>
      </c>
      <c r="F201">
        <v>477.3</v>
      </c>
      <c r="G201">
        <v>6</v>
      </c>
      <c r="H201" s="2">
        <v>0.42857142857142855</v>
      </c>
      <c r="I201">
        <v>3790.05</v>
      </c>
      <c r="J201">
        <v>3</v>
      </c>
      <c r="K201" s="2">
        <v>3.32E-2</v>
      </c>
    </row>
    <row r="202" spans="1:11" x14ac:dyDescent="0.35">
      <c r="A202" t="s">
        <v>30</v>
      </c>
      <c r="B202" t="s">
        <v>41</v>
      </c>
      <c r="C202" s="1">
        <v>45505</v>
      </c>
      <c r="D202">
        <v>85</v>
      </c>
      <c r="E202">
        <v>17</v>
      </c>
      <c r="F202">
        <v>187.72</v>
      </c>
      <c r="G202">
        <v>5</v>
      </c>
      <c r="H202" s="2">
        <v>0.29411764705882354</v>
      </c>
      <c r="I202">
        <v>443.22</v>
      </c>
      <c r="J202">
        <v>2</v>
      </c>
      <c r="K202" s="2">
        <v>0.1016</v>
      </c>
    </row>
    <row r="203" spans="1:11" x14ac:dyDescent="0.35">
      <c r="A203" t="s">
        <v>31</v>
      </c>
      <c r="B203" t="s">
        <v>41</v>
      </c>
      <c r="C203" s="1">
        <v>45505</v>
      </c>
      <c r="D203">
        <v>80</v>
      </c>
      <c r="E203">
        <v>13</v>
      </c>
      <c r="F203">
        <v>504.59</v>
      </c>
      <c r="G203">
        <v>0</v>
      </c>
      <c r="H203" s="2">
        <v>0</v>
      </c>
      <c r="I203">
        <v>1265.47</v>
      </c>
      <c r="J203">
        <v>1</v>
      </c>
      <c r="K203" s="2">
        <v>1E-3</v>
      </c>
    </row>
    <row r="204" spans="1:11" x14ac:dyDescent="0.35">
      <c r="A204" t="s">
        <v>32</v>
      </c>
      <c r="B204" t="s">
        <v>41</v>
      </c>
      <c r="C204" s="1">
        <v>45505</v>
      </c>
      <c r="D204">
        <v>18</v>
      </c>
      <c r="E204">
        <v>12</v>
      </c>
      <c r="F204">
        <v>262.26</v>
      </c>
      <c r="G204">
        <v>1</v>
      </c>
      <c r="H204" s="2">
        <v>8.3333333333333329E-2</v>
      </c>
      <c r="I204">
        <v>1573.7</v>
      </c>
      <c r="J204">
        <v>3</v>
      </c>
      <c r="K204" s="2">
        <v>5.1299999999999998E-2</v>
      </c>
    </row>
    <row r="205" spans="1:11" x14ac:dyDescent="0.35">
      <c r="A205" t="s">
        <v>33</v>
      </c>
      <c r="B205" t="s">
        <v>41</v>
      </c>
      <c r="C205" s="1">
        <v>45505</v>
      </c>
      <c r="D205">
        <v>106</v>
      </c>
      <c r="E205">
        <v>6</v>
      </c>
      <c r="F205">
        <v>572.16</v>
      </c>
      <c r="G205">
        <v>2</v>
      </c>
      <c r="H205" s="2">
        <v>0.33333333333333331</v>
      </c>
      <c r="I205">
        <v>3398.37</v>
      </c>
      <c r="J205">
        <v>2</v>
      </c>
      <c r="K205" s="2">
        <v>2.87E-2</v>
      </c>
    </row>
    <row r="206" spans="1:11" x14ac:dyDescent="0.35">
      <c r="A206" t="s">
        <v>34</v>
      </c>
      <c r="B206" t="s">
        <v>41</v>
      </c>
      <c r="C206" s="1">
        <v>45505</v>
      </c>
      <c r="D206">
        <v>71</v>
      </c>
      <c r="E206">
        <v>9</v>
      </c>
      <c r="F206">
        <v>172.96</v>
      </c>
      <c r="G206">
        <v>6</v>
      </c>
      <c r="H206" s="2">
        <v>0.66666666666666663</v>
      </c>
      <c r="I206">
        <v>464.49</v>
      </c>
      <c r="J206">
        <v>1</v>
      </c>
      <c r="K206" s="2">
        <v>8.2699999999999996E-2</v>
      </c>
    </row>
    <row r="207" spans="1:11" x14ac:dyDescent="0.35">
      <c r="A207" t="s">
        <v>35</v>
      </c>
      <c r="B207" t="s">
        <v>41</v>
      </c>
      <c r="C207" s="1">
        <v>45505</v>
      </c>
      <c r="D207">
        <v>115</v>
      </c>
      <c r="E207">
        <v>17</v>
      </c>
      <c r="F207">
        <v>422.48</v>
      </c>
      <c r="G207">
        <v>0</v>
      </c>
      <c r="H207" s="2">
        <v>0</v>
      </c>
      <c r="I207">
        <v>2681.51</v>
      </c>
      <c r="J207">
        <v>3</v>
      </c>
      <c r="K207" s="2">
        <v>2.5000000000000001E-2</v>
      </c>
    </row>
    <row r="208" spans="1:11" x14ac:dyDescent="0.35">
      <c r="A208" t="s">
        <v>37</v>
      </c>
      <c r="B208" t="s">
        <v>41</v>
      </c>
      <c r="C208" s="1">
        <v>45505</v>
      </c>
      <c r="D208">
        <v>34</v>
      </c>
      <c r="E208">
        <v>10</v>
      </c>
      <c r="F208">
        <v>565.11</v>
      </c>
      <c r="G208">
        <v>5</v>
      </c>
      <c r="H208" s="2">
        <v>0.5</v>
      </c>
      <c r="I208">
        <v>222.62</v>
      </c>
      <c r="J208">
        <v>2</v>
      </c>
      <c r="K208" s="2">
        <v>7.1800000000000003E-2</v>
      </c>
    </row>
    <row r="209" spans="1:11" x14ac:dyDescent="0.35">
      <c r="A209" t="s">
        <v>38</v>
      </c>
      <c r="B209" t="s">
        <v>41</v>
      </c>
      <c r="C209" s="1">
        <v>45505</v>
      </c>
      <c r="D209">
        <v>40</v>
      </c>
      <c r="E209">
        <v>17</v>
      </c>
      <c r="F209">
        <v>355.83</v>
      </c>
      <c r="G209">
        <v>6</v>
      </c>
      <c r="H209" s="2">
        <v>0.35294117647058826</v>
      </c>
      <c r="I209">
        <v>4155.8599999999997</v>
      </c>
      <c r="J209">
        <v>1</v>
      </c>
      <c r="K209" s="2">
        <v>8.8000000000000009E-2</v>
      </c>
    </row>
    <row r="210" spans="1:11" x14ac:dyDescent="0.35">
      <c r="A210" t="s">
        <v>11</v>
      </c>
      <c r="B210" t="s">
        <v>41</v>
      </c>
      <c r="C210" s="1">
        <v>45536</v>
      </c>
      <c r="D210">
        <v>51</v>
      </c>
      <c r="E210">
        <v>15</v>
      </c>
      <c r="F210">
        <v>349.71</v>
      </c>
      <c r="G210">
        <v>8</v>
      </c>
      <c r="H210" s="2">
        <v>0.53333333333333333</v>
      </c>
      <c r="I210">
        <v>4017.54</v>
      </c>
      <c r="J210">
        <v>1</v>
      </c>
      <c r="K210" s="2">
        <v>2.92E-2</v>
      </c>
    </row>
    <row r="211" spans="1:11" x14ac:dyDescent="0.35">
      <c r="A211" t="s">
        <v>13</v>
      </c>
      <c r="B211" t="s">
        <v>41</v>
      </c>
      <c r="C211" s="1">
        <v>45536</v>
      </c>
      <c r="D211">
        <v>79</v>
      </c>
      <c r="E211">
        <v>9</v>
      </c>
      <c r="F211">
        <v>358.67</v>
      </c>
      <c r="G211">
        <v>5</v>
      </c>
      <c r="H211" s="2">
        <v>0.55555555555555558</v>
      </c>
      <c r="I211">
        <v>3658.64</v>
      </c>
      <c r="J211">
        <v>3</v>
      </c>
      <c r="K211" s="2">
        <v>3.7499999999999999E-2</v>
      </c>
    </row>
    <row r="212" spans="1:11" x14ac:dyDescent="0.35">
      <c r="A212" t="s">
        <v>14</v>
      </c>
      <c r="B212" t="s">
        <v>41</v>
      </c>
      <c r="C212" s="1">
        <v>45536</v>
      </c>
      <c r="D212">
        <v>57</v>
      </c>
      <c r="E212">
        <v>18</v>
      </c>
      <c r="F212">
        <v>403.41</v>
      </c>
      <c r="G212">
        <v>3</v>
      </c>
      <c r="H212" s="2">
        <v>0.16666666666666666</v>
      </c>
      <c r="I212">
        <v>3767.63</v>
      </c>
      <c r="J212">
        <v>2</v>
      </c>
      <c r="K212" s="2">
        <v>4.24E-2</v>
      </c>
    </row>
    <row r="213" spans="1:11" x14ac:dyDescent="0.35">
      <c r="A213" t="s">
        <v>15</v>
      </c>
      <c r="B213" t="s">
        <v>41</v>
      </c>
      <c r="C213" s="1">
        <v>45536</v>
      </c>
      <c r="D213">
        <v>24</v>
      </c>
      <c r="E213">
        <v>7</v>
      </c>
      <c r="F213">
        <v>79.62</v>
      </c>
      <c r="G213">
        <v>4</v>
      </c>
      <c r="H213" s="2">
        <v>0.5714285714285714</v>
      </c>
      <c r="I213">
        <v>1650.69</v>
      </c>
      <c r="J213">
        <v>1</v>
      </c>
      <c r="K213" s="2">
        <v>3.0600000000000002E-2</v>
      </c>
    </row>
    <row r="214" spans="1:11" x14ac:dyDescent="0.35">
      <c r="A214" t="s">
        <v>16</v>
      </c>
      <c r="B214" t="s">
        <v>41</v>
      </c>
      <c r="C214" s="1">
        <v>45536</v>
      </c>
      <c r="D214">
        <v>77</v>
      </c>
      <c r="E214">
        <v>11</v>
      </c>
      <c r="F214">
        <v>487.47</v>
      </c>
      <c r="G214">
        <v>4</v>
      </c>
      <c r="H214" s="2">
        <v>0.36363636363636365</v>
      </c>
      <c r="I214">
        <v>990.89</v>
      </c>
      <c r="J214">
        <v>3</v>
      </c>
      <c r="K214" s="2">
        <v>4.3299999999999998E-2</v>
      </c>
    </row>
    <row r="215" spans="1:11" x14ac:dyDescent="0.35">
      <c r="A215" t="s">
        <v>17</v>
      </c>
      <c r="B215" t="s">
        <v>41</v>
      </c>
      <c r="C215" s="1">
        <v>45536</v>
      </c>
      <c r="D215">
        <v>69</v>
      </c>
      <c r="E215">
        <v>7</v>
      </c>
      <c r="F215">
        <v>549.77</v>
      </c>
      <c r="G215">
        <v>2</v>
      </c>
      <c r="H215" s="2">
        <v>0.2857142857142857</v>
      </c>
      <c r="I215">
        <v>3916.58</v>
      </c>
      <c r="J215">
        <v>2</v>
      </c>
      <c r="K215" s="2">
        <v>1.2E-2</v>
      </c>
    </row>
    <row r="216" spans="1:11" x14ac:dyDescent="0.35">
      <c r="A216" t="s">
        <v>18</v>
      </c>
      <c r="B216" t="s">
        <v>41</v>
      </c>
      <c r="C216" s="1">
        <v>45536</v>
      </c>
      <c r="D216">
        <v>74</v>
      </c>
      <c r="E216">
        <v>18</v>
      </c>
      <c r="F216">
        <v>306.89999999999998</v>
      </c>
      <c r="G216">
        <v>3</v>
      </c>
      <c r="H216" s="2">
        <v>0.16666666666666666</v>
      </c>
      <c r="I216">
        <v>2254.16</v>
      </c>
      <c r="J216">
        <v>1</v>
      </c>
      <c r="K216" s="2">
        <v>9.64E-2</v>
      </c>
    </row>
    <row r="217" spans="1:11" x14ac:dyDescent="0.35">
      <c r="A217" t="s">
        <v>19</v>
      </c>
      <c r="B217" t="s">
        <v>41</v>
      </c>
      <c r="C217" s="1">
        <v>45536</v>
      </c>
      <c r="D217">
        <v>57</v>
      </c>
      <c r="E217">
        <v>7</v>
      </c>
      <c r="F217">
        <v>262.27999999999997</v>
      </c>
      <c r="G217">
        <v>7</v>
      </c>
      <c r="H217" s="2">
        <v>1</v>
      </c>
      <c r="I217">
        <v>3929.11</v>
      </c>
      <c r="J217">
        <v>3</v>
      </c>
      <c r="K217" s="2">
        <v>4.4299999999999999E-2</v>
      </c>
    </row>
    <row r="218" spans="1:11" x14ac:dyDescent="0.35">
      <c r="A218" t="s">
        <v>20</v>
      </c>
      <c r="B218" t="s">
        <v>41</v>
      </c>
      <c r="C218" s="1">
        <v>45536</v>
      </c>
      <c r="D218">
        <v>26</v>
      </c>
      <c r="E218">
        <v>21</v>
      </c>
      <c r="F218">
        <v>359.51</v>
      </c>
      <c r="G218">
        <v>9</v>
      </c>
      <c r="H218" s="2">
        <v>0.42857142857142855</v>
      </c>
      <c r="I218">
        <v>1187.3699999999999</v>
      </c>
      <c r="J218">
        <v>2</v>
      </c>
      <c r="K218" s="2">
        <v>5.33E-2</v>
      </c>
    </row>
    <row r="219" spans="1:11" x14ac:dyDescent="0.35">
      <c r="A219" t="s">
        <v>21</v>
      </c>
      <c r="B219" t="s">
        <v>41</v>
      </c>
      <c r="C219" s="1">
        <v>45536</v>
      </c>
      <c r="D219">
        <v>76</v>
      </c>
      <c r="E219">
        <v>18</v>
      </c>
      <c r="F219">
        <v>339.1</v>
      </c>
      <c r="G219">
        <v>8</v>
      </c>
      <c r="H219" s="2">
        <v>0.44444444444444442</v>
      </c>
      <c r="I219">
        <v>924.79</v>
      </c>
      <c r="J219">
        <v>1</v>
      </c>
      <c r="K219" s="2">
        <v>3.6000000000000004E-2</v>
      </c>
    </row>
    <row r="220" spans="1:11" x14ac:dyDescent="0.35">
      <c r="A220" t="s">
        <v>22</v>
      </c>
      <c r="B220" t="s">
        <v>41</v>
      </c>
      <c r="C220" s="1">
        <v>45536</v>
      </c>
      <c r="D220">
        <v>22</v>
      </c>
      <c r="E220">
        <v>7</v>
      </c>
      <c r="F220">
        <v>182.47</v>
      </c>
      <c r="G220">
        <v>7</v>
      </c>
      <c r="H220" s="2">
        <v>1</v>
      </c>
      <c r="I220">
        <v>779.86</v>
      </c>
      <c r="J220">
        <v>3</v>
      </c>
      <c r="K220" s="2">
        <v>7.2700000000000001E-2</v>
      </c>
    </row>
    <row r="221" spans="1:11" x14ac:dyDescent="0.35">
      <c r="A221" t="s">
        <v>23</v>
      </c>
      <c r="B221" t="s">
        <v>41</v>
      </c>
      <c r="C221" s="1">
        <v>45536</v>
      </c>
      <c r="D221">
        <v>38</v>
      </c>
      <c r="E221">
        <v>6</v>
      </c>
      <c r="F221">
        <v>553.89</v>
      </c>
      <c r="G221">
        <v>6</v>
      </c>
      <c r="H221" s="2">
        <v>1</v>
      </c>
      <c r="I221">
        <v>4013.79</v>
      </c>
      <c r="J221">
        <v>2</v>
      </c>
      <c r="K221" s="2">
        <v>4.3200000000000002E-2</v>
      </c>
    </row>
    <row r="222" spans="1:11" x14ac:dyDescent="0.35">
      <c r="A222" t="s">
        <v>24</v>
      </c>
      <c r="B222" t="s">
        <v>41</v>
      </c>
      <c r="C222" s="1">
        <v>45536</v>
      </c>
      <c r="D222">
        <v>87</v>
      </c>
      <c r="E222">
        <v>21</v>
      </c>
      <c r="F222">
        <v>633.13</v>
      </c>
      <c r="G222">
        <v>2</v>
      </c>
      <c r="H222" s="2">
        <v>9.5238095238095233E-2</v>
      </c>
      <c r="I222">
        <v>336.22</v>
      </c>
      <c r="J222">
        <v>1</v>
      </c>
      <c r="K222" s="2">
        <v>3.4500000000000003E-2</v>
      </c>
    </row>
    <row r="223" spans="1:11" x14ac:dyDescent="0.35">
      <c r="A223" t="s">
        <v>25</v>
      </c>
      <c r="B223" t="s">
        <v>41</v>
      </c>
      <c r="C223" s="1">
        <v>45536</v>
      </c>
      <c r="D223">
        <v>37</v>
      </c>
      <c r="E223">
        <v>8</v>
      </c>
      <c r="F223">
        <v>215.09</v>
      </c>
      <c r="G223">
        <v>2</v>
      </c>
      <c r="H223" s="2">
        <v>0.25</v>
      </c>
      <c r="I223">
        <v>3424.83</v>
      </c>
      <c r="J223">
        <v>3</v>
      </c>
      <c r="K223" s="2">
        <v>4.07E-2</v>
      </c>
    </row>
    <row r="224" spans="1:11" x14ac:dyDescent="0.35">
      <c r="A224" t="s">
        <v>26</v>
      </c>
      <c r="B224" t="s">
        <v>41</v>
      </c>
      <c r="C224" s="1">
        <v>45536</v>
      </c>
      <c r="D224">
        <v>71</v>
      </c>
      <c r="E224">
        <v>8</v>
      </c>
      <c r="F224">
        <v>199.19</v>
      </c>
      <c r="G224">
        <v>2</v>
      </c>
      <c r="H224" s="2">
        <v>0.25</v>
      </c>
      <c r="I224">
        <v>635.24</v>
      </c>
      <c r="J224">
        <v>2</v>
      </c>
      <c r="K224" s="2">
        <v>2.9500000000000002E-2</v>
      </c>
    </row>
    <row r="225" spans="1:11" x14ac:dyDescent="0.35">
      <c r="A225" t="s">
        <v>27</v>
      </c>
      <c r="B225" t="s">
        <v>41</v>
      </c>
      <c r="C225" s="1">
        <v>45536</v>
      </c>
      <c r="D225">
        <v>81</v>
      </c>
      <c r="E225">
        <v>5</v>
      </c>
      <c r="F225">
        <v>153.5</v>
      </c>
      <c r="G225">
        <v>2</v>
      </c>
      <c r="H225" s="2">
        <v>0.4</v>
      </c>
      <c r="I225">
        <v>1307.47</v>
      </c>
      <c r="J225">
        <v>1</v>
      </c>
      <c r="K225" s="2">
        <v>7.3300000000000004E-2</v>
      </c>
    </row>
    <row r="226" spans="1:11" x14ac:dyDescent="0.35">
      <c r="A226" t="s">
        <v>28</v>
      </c>
      <c r="B226" t="s">
        <v>41</v>
      </c>
      <c r="C226" s="1">
        <v>45536</v>
      </c>
      <c r="D226">
        <v>93</v>
      </c>
      <c r="E226">
        <v>5</v>
      </c>
      <c r="F226">
        <v>77.12</v>
      </c>
      <c r="G226">
        <v>2</v>
      </c>
      <c r="H226" s="2">
        <v>0.4</v>
      </c>
      <c r="I226">
        <v>3483.91</v>
      </c>
      <c r="J226">
        <v>3</v>
      </c>
      <c r="K226" s="2">
        <v>9.9000000000000005E-2</v>
      </c>
    </row>
    <row r="227" spans="1:11" x14ac:dyDescent="0.35">
      <c r="A227" t="s">
        <v>29</v>
      </c>
      <c r="B227" t="s">
        <v>41</v>
      </c>
      <c r="C227" s="1">
        <v>45536</v>
      </c>
      <c r="D227">
        <v>21</v>
      </c>
      <c r="E227">
        <v>17</v>
      </c>
      <c r="F227">
        <v>533.41999999999996</v>
      </c>
      <c r="G227">
        <v>7</v>
      </c>
      <c r="H227" s="2">
        <v>0.41176470588235292</v>
      </c>
      <c r="I227">
        <v>3895.32</v>
      </c>
      <c r="J227">
        <v>2</v>
      </c>
      <c r="K227" s="2">
        <v>3.4000000000000002E-2</v>
      </c>
    </row>
    <row r="228" spans="1:11" x14ac:dyDescent="0.35">
      <c r="A228" t="s">
        <v>30</v>
      </c>
      <c r="B228" t="s">
        <v>41</v>
      </c>
      <c r="C228" s="1">
        <v>45536</v>
      </c>
      <c r="D228">
        <v>86</v>
      </c>
      <c r="E228">
        <v>17</v>
      </c>
      <c r="F228">
        <v>160.88999999999999</v>
      </c>
      <c r="G228">
        <v>4</v>
      </c>
      <c r="H228" s="2">
        <v>0.23529411764705882</v>
      </c>
      <c r="I228">
        <v>418.33</v>
      </c>
      <c r="J228">
        <v>1</v>
      </c>
      <c r="K228" s="2">
        <v>8.8100000000000012E-2</v>
      </c>
    </row>
    <row r="229" spans="1:11" x14ac:dyDescent="0.35">
      <c r="A229" t="s">
        <v>31</v>
      </c>
      <c r="B229" t="s">
        <v>41</v>
      </c>
      <c r="C229" s="1">
        <v>45536</v>
      </c>
      <c r="D229">
        <v>72</v>
      </c>
      <c r="E229">
        <v>11</v>
      </c>
      <c r="F229">
        <v>459.86</v>
      </c>
      <c r="G229">
        <v>0</v>
      </c>
      <c r="H229" s="2">
        <v>0</v>
      </c>
      <c r="I229">
        <v>1269.5999999999999</v>
      </c>
      <c r="J229">
        <v>3</v>
      </c>
      <c r="K229" s="2">
        <v>1E-3</v>
      </c>
    </row>
    <row r="230" spans="1:11" x14ac:dyDescent="0.35">
      <c r="A230" t="s">
        <v>32</v>
      </c>
      <c r="B230" t="s">
        <v>41</v>
      </c>
      <c r="C230" s="1">
        <v>45536</v>
      </c>
      <c r="D230">
        <v>18</v>
      </c>
      <c r="E230">
        <v>13</v>
      </c>
      <c r="F230">
        <v>290.14</v>
      </c>
      <c r="G230">
        <v>2</v>
      </c>
      <c r="H230" s="2">
        <v>0.15384615384615385</v>
      </c>
      <c r="I230">
        <v>1444.65</v>
      </c>
      <c r="J230">
        <v>2</v>
      </c>
      <c r="K230" s="2">
        <v>5.4699999999999999E-2</v>
      </c>
    </row>
    <row r="231" spans="1:11" x14ac:dyDescent="0.35">
      <c r="A231" t="s">
        <v>33</v>
      </c>
      <c r="B231" t="s">
        <v>41</v>
      </c>
      <c r="C231" s="1">
        <v>45536</v>
      </c>
      <c r="D231">
        <v>105</v>
      </c>
      <c r="E231">
        <v>7</v>
      </c>
      <c r="F231">
        <v>587.83000000000004</v>
      </c>
      <c r="G231">
        <v>1</v>
      </c>
      <c r="H231" s="2">
        <v>0.14285714285714285</v>
      </c>
      <c r="I231">
        <v>3601.93</v>
      </c>
      <c r="J231">
        <v>1</v>
      </c>
      <c r="K231" s="2">
        <v>3.2199999999999999E-2</v>
      </c>
    </row>
    <row r="232" spans="1:11" x14ac:dyDescent="0.35">
      <c r="A232" t="s">
        <v>34</v>
      </c>
      <c r="B232" t="s">
        <v>41</v>
      </c>
      <c r="C232" s="1">
        <v>45536</v>
      </c>
      <c r="D232">
        <v>75</v>
      </c>
      <c r="E232">
        <v>8</v>
      </c>
      <c r="F232">
        <v>177.88</v>
      </c>
      <c r="G232">
        <v>7</v>
      </c>
      <c r="H232" s="2">
        <v>0.875</v>
      </c>
      <c r="I232">
        <v>507.1</v>
      </c>
      <c r="J232">
        <v>3</v>
      </c>
      <c r="K232" s="2">
        <v>9.5199999999999993E-2</v>
      </c>
    </row>
    <row r="233" spans="1:11" x14ac:dyDescent="0.35">
      <c r="A233" t="s">
        <v>35</v>
      </c>
      <c r="B233" t="s">
        <v>41</v>
      </c>
      <c r="C233" s="1">
        <v>45536</v>
      </c>
      <c r="D233">
        <v>98</v>
      </c>
      <c r="E233">
        <v>12</v>
      </c>
      <c r="F233">
        <v>406.95</v>
      </c>
      <c r="G233">
        <v>0</v>
      </c>
      <c r="H233" s="2">
        <v>0</v>
      </c>
      <c r="I233">
        <v>2978.09</v>
      </c>
      <c r="J233">
        <v>2</v>
      </c>
      <c r="K233" s="2">
        <v>2.3700000000000002E-2</v>
      </c>
    </row>
    <row r="234" spans="1:11" x14ac:dyDescent="0.35">
      <c r="A234" t="s">
        <v>37</v>
      </c>
      <c r="B234" t="s">
        <v>41</v>
      </c>
      <c r="C234" s="1">
        <v>45536</v>
      </c>
      <c r="D234">
        <v>33</v>
      </c>
      <c r="E234">
        <v>13</v>
      </c>
      <c r="F234">
        <v>517.1</v>
      </c>
      <c r="G234">
        <v>4</v>
      </c>
      <c r="H234" s="2">
        <v>0.30769230769230771</v>
      </c>
      <c r="I234">
        <v>250.08</v>
      </c>
      <c r="J234">
        <v>1</v>
      </c>
      <c r="K234" s="2">
        <v>6.5299999999999997E-2</v>
      </c>
    </row>
    <row r="235" spans="1:11" x14ac:dyDescent="0.35">
      <c r="A235" t="s">
        <v>38</v>
      </c>
      <c r="B235" t="s">
        <v>41</v>
      </c>
      <c r="C235" s="1">
        <v>45536</v>
      </c>
      <c r="D235">
        <v>35</v>
      </c>
      <c r="E235">
        <v>18</v>
      </c>
      <c r="F235">
        <v>348.92</v>
      </c>
      <c r="G235">
        <v>7</v>
      </c>
      <c r="H235" s="2">
        <v>0.3888888888888889</v>
      </c>
      <c r="I235">
        <v>4381.3900000000003</v>
      </c>
      <c r="J235">
        <v>1</v>
      </c>
      <c r="K235" s="2">
        <v>8.8599999999999998E-2</v>
      </c>
    </row>
    <row r="236" spans="1:11" x14ac:dyDescent="0.35">
      <c r="A236" t="s">
        <v>11</v>
      </c>
      <c r="B236" t="s">
        <v>41</v>
      </c>
      <c r="C236" s="1">
        <v>45566</v>
      </c>
      <c r="D236">
        <v>74</v>
      </c>
      <c r="E236">
        <v>16</v>
      </c>
      <c r="F236">
        <v>308.51</v>
      </c>
      <c r="G236">
        <v>7</v>
      </c>
      <c r="H236" s="2">
        <v>0.4375</v>
      </c>
      <c r="I236">
        <v>4267.5</v>
      </c>
      <c r="J236">
        <v>3</v>
      </c>
      <c r="K236" s="2">
        <v>2.9399999999999999E-2</v>
      </c>
    </row>
    <row r="237" spans="1:11" x14ac:dyDescent="0.35">
      <c r="A237" t="s">
        <v>13</v>
      </c>
      <c r="B237" t="s">
        <v>41</v>
      </c>
      <c r="C237" s="1">
        <v>45566</v>
      </c>
      <c r="D237">
        <v>72</v>
      </c>
      <c r="E237">
        <v>10</v>
      </c>
      <c r="F237">
        <v>362.58</v>
      </c>
      <c r="G237">
        <v>5</v>
      </c>
      <c r="H237" s="2">
        <v>0.5</v>
      </c>
      <c r="I237">
        <v>3679.65</v>
      </c>
      <c r="J237">
        <v>2</v>
      </c>
      <c r="K237" s="2">
        <v>3.8599999999999995E-2</v>
      </c>
    </row>
    <row r="238" spans="1:11" x14ac:dyDescent="0.35">
      <c r="A238" t="s">
        <v>14</v>
      </c>
      <c r="B238" t="s">
        <v>41</v>
      </c>
      <c r="C238" s="1">
        <v>45566</v>
      </c>
      <c r="D238">
        <v>58</v>
      </c>
      <c r="E238">
        <v>13</v>
      </c>
      <c r="F238">
        <v>368.06</v>
      </c>
      <c r="G238">
        <v>2</v>
      </c>
      <c r="H238" s="2">
        <v>0.15384615384615385</v>
      </c>
      <c r="I238">
        <v>3626.22</v>
      </c>
      <c r="J238">
        <v>1</v>
      </c>
      <c r="K238" s="2">
        <v>4.1399999999999999E-2</v>
      </c>
    </row>
    <row r="239" spans="1:11" x14ac:dyDescent="0.35">
      <c r="A239" t="s">
        <v>15</v>
      </c>
      <c r="B239" t="s">
        <v>41</v>
      </c>
      <c r="C239" s="1">
        <v>45566</v>
      </c>
      <c r="D239">
        <v>22</v>
      </c>
      <c r="E239">
        <v>7</v>
      </c>
      <c r="F239">
        <v>74.680000000000007</v>
      </c>
      <c r="G239">
        <v>4</v>
      </c>
      <c r="H239" s="2">
        <v>0.5714285714285714</v>
      </c>
      <c r="I239">
        <v>1543.72</v>
      </c>
      <c r="J239">
        <v>3</v>
      </c>
      <c r="K239" s="2">
        <v>2.75E-2</v>
      </c>
    </row>
    <row r="240" spans="1:11" x14ac:dyDescent="0.35">
      <c r="A240" t="s">
        <v>16</v>
      </c>
      <c r="B240" t="s">
        <v>41</v>
      </c>
      <c r="C240" s="1">
        <v>45566</v>
      </c>
      <c r="D240">
        <v>74</v>
      </c>
      <c r="E240">
        <v>15</v>
      </c>
      <c r="F240">
        <v>460.2</v>
      </c>
      <c r="G240">
        <v>4</v>
      </c>
      <c r="H240" s="2">
        <v>0.26666666666666666</v>
      </c>
      <c r="I240">
        <v>980.1</v>
      </c>
      <c r="J240">
        <v>2</v>
      </c>
      <c r="K240" s="2">
        <v>3.7900000000000003E-2</v>
      </c>
    </row>
    <row r="241" spans="1:11" x14ac:dyDescent="0.35">
      <c r="A241" t="s">
        <v>17</v>
      </c>
      <c r="B241" t="s">
        <v>41</v>
      </c>
      <c r="C241" s="1">
        <v>45566</v>
      </c>
      <c r="D241">
        <v>62</v>
      </c>
      <c r="E241">
        <v>8</v>
      </c>
      <c r="F241">
        <v>540.79999999999995</v>
      </c>
      <c r="G241">
        <v>3</v>
      </c>
      <c r="H241" s="2">
        <v>0.375</v>
      </c>
      <c r="I241">
        <v>3928.71</v>
      </c>
      <c r="J241">
        <v>1</v>
      </c>
      <c r="K241" s="2">
        <v>1.09E-2</v>
      </c>
    </row>
    <row r="242" spans="1:11" x14ac:dyDescent="0.35">
      <c r="A242" t="s">
        <v>18</v>
      </c>
      <c r="B242" t="s">
        <v>41</v>
      </c>
      <c r="C242" s="1">
        <v>45566</v>
      </c>
      <c r="D242">
        <v>70</v>
      </c>
      <c r="E242">
        <v>21</v>
      </c>
      <c r="F242">
        <v>319.62</v>
      </c>
      <c r="G242">
        <v>3</v>
      </c>
      <c r="H242" s="2">
        <v>0.14285714285714285</v>
      </c>
      <c r="I242">
        <v>2486.2199999999998</v>
      </c>
      <c r="J242">
        <v>3</v>
      </c>
      <c r="K242" s="2">
        <v>0.1036</v>
      </c>
    </row>
    <row r="243" spans="1:11" x14ac:dyDescent="0.35">
      <c r="A243" t="s">
        <v>19</v>
      </c>
      <c r="B243" t="s">
        <v>41</v>
      </c>
      <c r="C243" s="1">
        <v>45566</v>
      </c>
      <c r="D243">
        <v>51</v>
      </c>
      <c r="E243">
        <v>7</v>
      </c>
      <c r="F243">
        <v>248.37</v>
      </c>
      <c r="G243">
        <v>7</v>
      </c>
      <c r="H243" s="2">
        <v>1</v>
      </c>
      <c r="I243">
        <v>3946.23</v>
      </c>
      <c r="J243">
        <v>2</v>
      </c>
      <c r="K243" s="2">
        <v>4.2699999999999995E-2</v>
      </c>
    </row>
    <row r="244" spans="1:11" x14ac:dyDescent="0.35">
      <c r="A244" t="s">
        <v>20</v>
      </c>
      <c r="B244" t="s">
        <v>41</v>
      </c>
      <c r="C244" s="1">
        <v>45566</v>
      </c>
      <c r="D244">
        <v>32</v>
      </c>
      <c r="E244">
        <v>16</v>
      </c>
      <c r="F244">
        <v>393.04</v>
      </c>
      <c r="G244">
        <v>7</v>
      </c>
      <c r="H244" s="2">
        <v>0.4375</v>
      </c>
      <c r="I244">
        <v>1286.18</v>
      </c>
      <c r="J244">
        <v>1</v>
      </c>
      <c r="K244" s="2">
        <v>5.6399999999999999E-2</v>
      </c>
    </row>
    <row r="245" spans="1:11" x14ac:dyDescent="0.35">
      <c r="A245" t="s">
        <v>21</v>
      </c>
      <c r="B245" t="s">
        <v>41</v>
      </c>
      <c r="C245" s="1">
        <v>45566</v>
      </c>
      <c r="D245">
        <v>71</v>
      </c>
      <c r="E245">
        <v>16</v>
      </c>
      <c r="F245">
        <v>323.56</v>
      </c>
      <c r="G245">
        <v>9</v>
      </c>
      <c r="H245" s="2">
        <v>0.5625</v>
      </c>
      <c r="I245">
        <v>957.05</v>
      </c>
      <c r="J245">
        <v>3</v>
      </c>
      <c r="K245" s="2">
        <v>3.1099999999999999E-2</v>
      </c>
    </row>
    <row r="246" spans="1:11" x14ac:dyDescent="0.35">
      <c r="A246" t="s">
        <v>22</v>
      </c>
      <c r="B246" t="s">
        <v>41</v>
      </c>
      <c r="C246" s="1">
        <v>45566</v>
      </c>
      <c r="D246">
        <v>17</v>
      </c>
      <c r="E246">
        <v>7</v>
      </c>
      <c r="F246">
        <v>205.3</v>
      </c>
      <c r="G246">
        <v>4</v>
      </c>
      <c r="H246" s="2">
        <v>0.5714285714285714</v>
      </c>
      <c r="I246">
        <v>762.2</v>
      </c>
      <c r="J246">
        <v>2</v>
      </c>
      <c r="K246" s="2">
        <v>7.2300000000000003E-2</v>
      </c>
    </row>
    <row r="247" spans="1:11" x14ac:dyDescent="0.35">
      <c r="A247" t="s">
        <v>23</v>
      </c>
      <c r="B247" t="s">
        <v>41</v>
      </c>
      <c r="C247" s="1">
        <v>45566</v>
      </c>
      <c r="D247">
        <v>35</v>
      </c>
      <c r="E247">
        <v>6</v>
      </c>
      <c r="F247">
        <v>544.78</v>
      </c>
      <c r="G247">
        <v>5</v>
      </c>
      <c r="H247" s="2">
        <v>0.83333333333333337</v>
      </c>
      <c r="I247">
        <v>3420.99</v>
      </c>
      <c r="J247">
        <v>3</v>
      </c>
      <c r="K247" s="2">
        <v>4.0500000000000001E-2</v>
      </c>
    </row>
    <row r="248" spans="1:11" x14ac:dyDescent="0.35">
      <c r="A248" t="s">
        <v>24</v>
      </c>
      <c r="B248" t="s">
        <v>41</v>
      </c>
      <c r="C248" s="1">
        <v>45566</v>
      </c>
      <c r="D248">
        <v>73</v>
      </c>
      <c r="E248">
        <v>17</v>
      </c>
      <c r="F248">
        <v>557.29999999999995</v>
      </c>
      <c r="G248">
        <v>3</v>
      </c>
      <c r="H248" s="2">
        <v>0.17647058823529413</v>
      </c>
      <c r="I248">
        <v>376.66</v>
      </c>
      <c r="J248">
        <v>2</v>
      </c>
      <c r="K248" s="2">
        <v>3.4700000000000002E-2</v>
      </c>
    </row>
    <row r="249" spans="1:11" x14ac:dyDescent="0.35">
      <c r="A249" t="s">
        <v>25</v>
      </c>
      <c r="B249" t="s">
        <v>41</v>
      </c>
      <c r="C249" s="1">
        <v>45566</v>
      </c>
      <c r="D249">
        <v>27</v>
      </c>
      <c r="E249">
        <v>6</v>
      </c>
      <c r="F249">
        <v>202.37</v>
      </c>
      <c r="G249">
        <v>1</v>
      </c>
      <c r="H249" s="2">
        <v>0.16666666666666666</v>
      </c>
      <c r="I249">
        <v>3781.81</v>
      </c>
      <c r="J249">
        <v>1</v>
      </c>
      <c r="K249" s="2">
        <v>4.3099999999999999E-2</v>
      </c>
    </row>
    <row r="250" spans="1:11" x14ac:dyDescent="0.35">
      <c r="A250" t="s">
        <v>26</v>
      </c>
      <c r="B250" t="s">
        <v>41</v>
      </c>
      <c r="C250" s="1">
        <v>45566</v>
      </c>
      <c r="D250">
        <v>49</v>
      </c>
      <c r="E250">
        <v>7</v>
      </c>
      <c r="F250">
        <v>204.14</v>
      </c>
      <c r="G250">
        <v>3</v>
      </c>
      <c r="H250" s="2">
        <v>0.42857142857142855</v>
      </c>
      <c r="I250">
        <v>636.65</v>
      </c>
      <c r="J250">
        <v>3</v>
      </c>
      <c r="K250" s="2">
        <v>2.9500000000000002E-2</v>
      </c>
    </row>
    <row r="251" spans="1:11" x14ac:dyDescent="0.35">
      <c r="A251" t="s">
        <v>27</v>
      </c>
      <c r="B251" t="s">
        <v>41</v>
      </c>
      <c r="C251" s="1">
        <v>45566</v>
      </c>
      <c r="D251">
        <v>106</v>
      </c>
      <c r="E251">
        <v>5</v>
      </c>
      <c r="F251">
        <v>163.38</v>
      </c>
      <c r="G251">
        <v>1</v>
      </c>
      <c r="H251" s="2">
        <v>0.2</v>
      </c>
      <c r="I251">
        <v>1148.1400000000001</v>
      </c>
      <c r="J251">
        <v>2</v>
      </c>
      <c r="K251" s="2">
        <v>7.8799999999999995E-2</v>
      </c>
    </row>
    <row r="252" spans="1:11" x14ac:dyDescent="0.35">
      <c r="A252" t="s">
        <v>28</v>
      </c>
      <c r="B252" t="s">
        <v>41</v>
      </c>
      <c r="C252" s="1">
        <v>45566</v>
      </c>
      <c r="D252">
        <v>102</v>
      </c>
      <c r="E252">
        <v>5</v>
      </c>
      <c r="F252">
        <v>86.37</v>
      </c>
      <c r="G252">
        <v>5</v>
      </c>
      <c r="H252" s="2">
        <v>1</v>
      </c>
      <c r="I252">
        <v>3851.19</v>
      </c>
      <c r="J252">
        <v>1</v>
      </c>
      <c r="K252" s="2">
        <v>8.3800000000000013E-2</v>
      </c>
    </row>
    <row r="253" spans="1:11" x14ac:dyDescent="0.35">
      <c r="A253" t="s">
        <v>29</v>
      </c>
      <c r="B253" t="s">
        <v>41</v>
      </c>
      <c r="C253" s="1">
        <v>45566</v>
      </c>
      <c r="D253">
        <v>21</v>
      </c>
      <c r="E253">
        <v>14</v>
      </c>
      <c r="F253">
        <v>537.36</v>
      </c>
      <c r="G253">
        <v>7</v>
      </c>
      <c r="H253" s="2">
        <v>0.5</v>
      </c>
      <c r="I253">
        <v>3767.78</v>
      </c>
      <c r="J253">
        <v>3</v>
      </c>
      <c r="K253" s="2">
        <v>3.44E-2</v>
      </c>
    </row>
    <row r="254" spans="1:11" x14ac:dyDescent="0.35">
      <c r="A254" t="s">
        <v>30</v>
      </c>
      <c r="B254" t="s">
        <v>41</v>
      </c>
      <c r="C254" s="1">
        <v>45566</v>
      </c>
      <c r="D254">
        <v>104</v>
      </c>
      <c r="E254">
        <v>20</v>
      </c>
      <c r="F254">
        <v>181.9</v>
      </c>
      <c r="G254">
        <v>4</v>
      </c>
      <c r="H254" s="2">
        <v>0.2</v>
      </c>
      <c r="I254">
        <v>400.92</v>
      </c>
      <c r="J254">
        <v>2</v>
      </c>
      <c r="K254" s="2">
        <v>0.10009999999999999</v>
      </c>
    </row>
    <row r="255" spans="1:11" x14ac:dyDescent="0.35">
      <c r="A255" t="s">
        <v>31</v>
      </c>
      <c r="B255" t="s">
        <v>41</v>
      </c>
      <c r="C255" s="1">
        <v>45566</v>
      </c>
      <c r="D255">
        <v>64</v>
      </c>
      <c r="E255">
        <v>15</v>
      </c>
      <c r="F255">
        <v>514.38</v>
      </c>
      <c r="G255">
        <v>0</v>
      </c>
      <c r="H255" s="2">
        <v>0</v>
      </c>
      <c r="I255">
        <v>1220.5899999999999</v>
      </c>
      <c r="J255">
        <v>1</v>
      </c>
      <c r="K255" s="2">
        <v>1E-3</v>
      </c>
    </row>
    <row r="256" spans="1:11" x14ac:dyDescent="0.35">
      <c r="A256" t="s">
        <v>32</v>
      </c>
      <c r="B256" t="s">
        <v>41</v>
      </c>
      <c r="C256" s="1">
        <v>45566</v>
      </c>
      <c r="D256">
        <v>21</v>
      </c>
      <c r="E256">
        <v>15</v>
      </c>
      <c r="F256">
        <v>309.75</v>
      </c>
      <c r="G256">
        <v>2</v>
      </c>
      <c r="H256" s="2">
        <v>0.13333333333333333</v>
      </c>
      <c r="I256">
        <v>1649.09</v>
      </c>
      <c r="J256">
        <v>3</v>
      </c>
      <c r="K256" s="2">
        <v>5.0999999999999997E-2</v>
      </c>
    </row>
    <row r="257" spans="1:11" x14ac:dyDescent="0.35">
      <c r="A257" t="s">
        <v>33</v>
      </c>
      <c r="B257" t="s">
        <v>41</v>
      </c>
      <c r="C257" s="1">
        <v>45566</v>
      </c>
      <c r="D257">
        <v>108</v>
      </c>
      <c r="E257">
        <v>6</v>
      </c>
      <c r="F257">
        <v>515.27</v>
      </c>
      <c r="G257">
        <v>2</v>
      </c>
      <c r="H257" s="2">
        <v>0.33333333333333331</v>
      </c>
      <c r="I257">
        <v>3183.87</v>
      </c>
      <c r="J257">
        <v>2</v>
      </c>
      <c r="K257" s="2">
        <v>3.04E-2</v>
      </c>
    </row>
    <row r="258" spans="1:11" x14ac:dyDescent="0.35">
      <c r="A258" t="s">
        <v>34</v>
      </c>
      <c r="B258" t="s">
        <v>41</v>
      </c>
      <c r="C258" s="1">
        <v>45566</v>
      </c>
      <c r="D258">
        <v>63</v>
      </c>
      <c r="E258">
        <v>10</v>
      </c>
      <c r="F258">
        <v>194.21</v>
      </c>
      <c r="G258">
        <v>7</v>
      </c>
      <c r="H258" s="2">
        <v>0.7</v>
      </c>
      <c r="I258">
        <v>508.84</v>
      </c>
      <c r="J258">
        <v>1</v>
      </c>
      <c r="K258" s="2">
        <v>9.3900000000000011E-2</v>
      </c>
    </row>
    <row r="259" spans="1:11" x14ac:dyDescent="0.35">
      <c r="A259" t="s">
        <v>35</v>
      </c>
      <c r="B259" t="s">
        <v>41</v>
      </c>
      <c r="C259" s="1">
        <v>45566</v>
      </c>
      <c r="D259">
        <v>85</v>
      </c>
      <c r="E259">
        <v>15</v>
      </c>
      <c r="F259">
        <v>400.65</v>
      </c>
      <c r="G259">
        <v>0</v>
      </c>
      <c r="H259" s="2">
        <v>0</v>
      </c>
      <c r="I259">
        <v>2890.62</v>
      </c>
      <c r="J259">
        <v>1</v>
      </c>
      <c r="K259" s="2">
        <v>2.4700000000000003E-2</v>
      </c>
    </row>
    <row r="260" spans="1:11" x14ac:dyDescent="0.35">
      <c r="A260" t="s">
        <v>37</v>
      </c>
      <c r="B260" t="s">
        <v>41</v>
      </c>
      <c r="C260" s="1">
        <v>45566</v>
      </c>
      <c r="D260">
        <v>36</v>
      </c>
      <c r="E260">
        <v>10</v>
      </c>
      <c r="F260">
        <v>535.44000000000005</v>
      </c>
      <c r="G260">
        <v>4</v>
      </c>
      <c r="H260" s="2">
        <v>0.4</v>
      </c>
      <c r="I260">
        <v>241.26</v>
      </c>
      <c r="J260">
        <v>3</v>
      </c>
      <c r="K260" s="2">
        <v>6.3E-2</v>
      </c>
    </row>
    <row r="261" spans="1:11" x14ac:dyDescent="0.35">
      <c r="A261" t="s">
        <v>38</v>
      </c>
      <c r="B261" t="s">
        <v>41</v>
      </c>
      <c r="C261" s="1">
        <v>45566</v>
      </c>
      <c r="D261">
        <v>34</v>
      </c>
      <c r="E261">
        <v>12</v>
      </c>
      <c r="F261">
        <v>356.4</v>
      </c>
      <c r="G261">
        <v>8</v>
      </c>
      <c r="H261" s="2">
        <v>0.66666666666666663</v>
      </c>
      <c r="I261">
        <v>4111.76</v>
      </c>
      <c r="J261">
        <v>2</v>
      </c>
      <c r="K261" s="2">
        <v>8.4700000000000011E-2</v>
      </c>
    </row>
    <row r="262" spans="1:11" x14ac:dyDescent="0.35">
      <c r="A262" t="s">
        <v>11</v>
      </c>
      <c r="B262" t="s">
        <v>41</v>
      </c>
      <c r="C262" s="1">
        <v>45597</v>
      </c>
      <c r="D262">
        <v>67</v>
      </c>
      <c r="E262">
        <v>12</v>
      </c>
      <c r="F262">
        <v>352.6</v>
      </c>
      <c r="G262">
        <v>6</v>
      </c>
      <c r="H262" s="2">
        <v>0.5</v>
      </c>
      <c r="I262">
        <v>4402.41</v>
      </c>
      <c r="J262">
        <v>1</v>
      </c>
      <c r="K262" s="2">
        <v>2.8999999999999998E-2</v>
      </c>
    </row>
    <row r="263" spans="1:11" x14ac:dyDescent="0.35">
      <c r="A263" t="s">
        <v>13</v>
      </c>
      <c r="B263" t="s">
        <v>41</v>
      </c>
      <c r="C263" s="1">
        <v>45597</v>
      </c>
      <c r="D263">
        <v>76</v>
      </c>
      <c r="E263">
        <v>14</v>
      </c>
      <c r="F263">
        <v>351.42</v>
      </c>
      <c r="G263">
        <v>4</v>
      </c>
      <c r="H263" s="2">
        <v>0.2857142857142857</v>
      </c>
      <c r="I263">
        <v>3917.99</v>
      </c>
      <c r="J263">
        <v>3</v>
      </c>
      <c r="K263" s="2">
        <v>4.2999999999999997E-2</v>
      </c>
    </row>
    <row r="264" spans="1:11" x14ac:dyDescent="0.35">
      <c r="A264" t="s">
        <v>14</v>
      </c>
      <c r="B264" t="s">
        <v>41</v>
      </c>
      <c r="C264" s="1">
        <v>45597</v>
      </c>
      <c r="D264">
        <v>53</v>
      </c>
      <c r="E264">
        <v>17</v>
      </c>
      <c r="F264">
        <v>404.22</v>
      </c>
      <c r="G264">
        <v>2</v>
      </c>
      <c r="H264" s="2">
        <v>0.11764705882352941</v>
      </c>
      <c r="I264">
        <v>3669.4</v>
      </c>
      <c r="J264">
        <v>2</v>
      </c>
      <c r="K264" s="2">
        <v>4.4500000000000005E-2</v>
      </c>
    </row>
    <row r="265" spans="1:11" x14ac:dyDescent="0.35">
      <c r="A265" t="s">
        <v>15</v>
      </c>
      <c r="B265" t="s">
        <v>41</v>
      </c>
      <c r="C265" s="1">
        <v>45597</v>
      </c>
      <c r="D265">
        <v>22</v>
      </c>
      <c r="E265">
        <v>6</v>
      </c>
      <c r="F265">
        <v>80.02</v>
      </c>
      <c r="G265">
        <v>3</v>
      </c>
      <c r="H265" s="2">
        <v>0.5</v>
      </c>
      <c r="I265">
        <v>1476.69</v>
      </c>
      <c r="J265">
        <v>1</v>
      </c>
      <c r="K265" s="2">
        <v>2.9300000000000003E-2</v>
      </c>
    </row>
    <row r="266" spans="1:11" x14ac:dyDescent="0.35">
      <c r="A266" t="s">
        <v>16</v>
      </c>
      <c r="B266" t="s">
        <v>41</v>
      </c>
      <c r="C266" s="1">
        <v>45597</v>
      </c>
      <c r="D266">
        <v>77</v>
      </c>
      <c r="E266">
        <v>16</v>
      </c>
      <c r="F266">
        <v>502.41</v>
      </c>
      <c r="G266">
        <v>5</v>
      </c>
      <c r="H266" s="2">
        <v>0.3125</v>
      </c>
      <c r="I266">
        <v>1093.75</v>
      </c>
      <c r="J266">
        <v>3</v>
      </c>
      <c r="K266" s="2">
        <v>3.8399999999999997E-2</v>
      </c>
    </row>
    <row r="267" spans="1:11" x14ac:dyDescent="0.35">
      <c r="A267" t="s">
        <v>17</v>
      </c>
      <c r="B267" t="s">
        <v>41</v>
      </c>
      <c r="C267" s="1">
        <v>45597</v>
      </c>
      <c r="D267">
        <v>52</v>
      </c>
      <c r="E267">
        <v>6</v>
      </c>
      <c r="F267">
        <v>492.23</v>
      </c>
      <c r="G267">
        <v>2</v>
      </c>
      <c r="H267" s="2">
        <v>0.33333333333333331</v>
      </c>
      <c r="I267">
        <v>3775.84</v>
      </c>
      <c r="J267">
        <v>2</v>
      </c>
      <c r="K267" s="2">
        <v>1.1000000000000001E-2</v>
      </c>
    </row>
    <row r="268" spans="1:11" x14ac:dyDescent="0.35">
      <c r="A268" t="s">
        <v>18</v>
      </c>
      <c r="B268" t="s">
        <v>41</v>
      </c>
      <c r="C268" s="1">
        <v>45597</v>
      </c>
      <c r="D268">
        <v>74</v>
      </c>
      <c r="E268">
        <v>17</v>
      </c>
      <c r="F268">
        <v>284.91000000000003</v>
      </c>
      <c r="G268">
        <v>3</v>
      </c>
      <c r="H268" s="2">
        <v>0.17647058823529413</v>
      </c>
      <c r="I268">
        <v>2481.64</v>
      </c>
      <c r="J268">
        <v>1</v>
      </c>
      <c r="K268" s="2">
        <v>9.0500000000000011E-2</v>
      </c>
    </row>
    <row r="269" spans="1:11" x14ac:dyDescent="0.35">
      <c r="A269" t="s">
        <v>19</v>
      </c>
      <c r="B269" t="s">
        <v>41</v>
      </c>
      <c r="C269" s="1">
        <v>45597</v>
      </c>
      <c r="D269">
        <v>50</v>
      </c>
      <c r="E269">
        <v>9</v>
      </c>
      <c r="F269">
        <v>237.95</v>
      </c>
      <c r="G269">
        <v>5</v>
      </c>
      <c r="H269" s="2">
        <v>0.55555555555555558</v>
      </c>
      <c r="I269">
        <v>3982.36</v>
      </c>
      <c r="J269">
        <v>3</v>
      </c>
      <c r="K269" s="2">
        <v>4.4299999999999999E-2</v>
      </c>
    </row>
    <row r="270" spans="1:11" x14ac:dyDescent="0.35">
      <c r="A270" t="s">
        <v>20</v>
      </c>
      <c r="B270" t="s">
        <v>41</v>
      </c>
      <c r="C270" s="1">
        <v>45597</v>
      </c>
      <c r="D270">
        <v>30</v>
      </c>
      <c r="E270">
        <v>21</v>
      </c>
      <c r="F270">
        <v>372.34</v>
      </c>
      <c r="G270">
        <v>7</v>
      </c>
      <c r="H270" s="2">
        <v>0.33333333333333331</v>
      </c>
      <c r="I270">
        <v>1172.04</v>
      </c>
      <c r="J270">
        <v>2</v>
      </c>
      <c r="K270" s="2">
        <v>5.4800000000000001E-2</v>
      </c>
    </row>
    <row r="271" spans="1:11" x14ac:dyDescent="0.35">
      <c r="A271" t="s">
        <v>21</v>
      </c>
      <c r="B271" t="s">
        <v>41</v>
      </c>
      <c r="C271" s="1">
        <v>45597</v>
      </c>
      <c r="D271">
        <v>74</v>
      </c>
      <c r="E271">
        <v>13</v>
      </c>
      <c r="F271">
        <v>324.77999999999997</v>
      </c>
      <c r="G271">
        <v>7</v>
      </c>
      <c r="H271" s="2">
        <v>0.53846153846153844</v>
      </c>
      <c r="I271">
        <v>995.6</v>
      </c>
      <c r="J271">
        <v>1</v>
      </c>
      <c r="K271" s="2">
        <v>3.0699999999999998E-2</v>
      </c>
    </row>
    <row r="272" spans="1:11" x14ac:dyDescent="0.35">
      <c r="A272" t="s">
        <v>22</v>
      </c>
      <c r="B272" t="s">
        <v>41</v>
      </c>
      <c r="C272" s="1">
        <v>45597</v>
      </c>
      <c r="D272">
        <v>23</v>
      </c>
      <c r="E272">
        <v>7</v>
      </c>
      <c r="F272">
        <v>190.12</v>
      </c>
      <c r="G272">
        <v>4</v>
      </c>
      <c r="H272" s="2">
        <v>0.5714285714285714</v>
      </c>
      <c r="I272">
        <v>788.65</v>
      </c>
      <c r="J272">
        <v>3</v>
      </c>
      <c r="K272" s="2">
        <v>7.2000000000000008E-2</v>
      </c>
    </row>
    <row r="273" spans="1:11" x14ac:dyDescent="0.35">
      <c r="A273" t="s">
        <v>23</v>
      </c>
      <c r="B273" t="s">
        <v>41</v>
      </c>
      <c r="C273" s="1">
        <v>45597</v>
      </c>
      <c r="D273">
        <v>32</v>
      </c>
      <c r="E273">
        <v>7</v>
      </c>
      <c r="F273">
        <v>563.41999999999996</v>
      </c>
      <c r="G273">
        <v>6</v>
      </c>
      <c r="H273" s="2">
        <v>0.8571428571428571</v>
      </c>
      <c r="I273">
        <v>3543.71</v>
      </c>
      <c r="J273">
        <v>2</v>
      </c>
      <c r="K273" s="2">
        <v>4.3799999999999999E-2</v>
      </c>
    </row>
    <row r="274" spans="1:11" x14ac:dyDescent="0.35">
      <c r="A274" t="s">
        <v>24</v>
      </c>
      <c r="B274" t="s">
        <v>41</v>
      </c>
      <c r="C274" s="1">
        <v>45597</v>
      </c>
      <c r="D274">
        <v>59</v>
      </c>
      <c r="E274">
        <v>21</v>
      </c>
      <c r="F274">
        <v>633.37</v>
      </c>
      <c r="G274">
        <v>2</v>
      </c>
      <c r="H274" s="2">
        <v>9.5238095238095233E-2</v>
      </c>
      <c r="I274">
        <v>358.29</v>
      </c>
      <c r="J274">
        <v>1</v>
      </c>
      <c r="K274" s="2">
        <v>3.27E-2</v>
      </c>
    </row>
    <row r="275" spans="1:11" x14ac:dyDescent="0.35">
      <c r="A275" t="s">
        <v>25</v>
      </c>
      <c r="B275" t="s">
        <v>41</v>
      </c>
      <c r="C275" s="1">
        <v>45597</v>
      </c>
      <c r="D275">
        <v>30</v>
      </c>
      <c r="E275">
        <v>6</v>
      </c>
      <c r="F275">
        <v>209.84</v>
      </c>
      <c r="G275">
        <v>1</v>
      </c>
      <c r="H275" s="2">
        <v>0.16666666666666666</v>
      </c>
      <c r="I275">
        <v>3534.1</v>
      </c>
      <c r="J275">
        <v>3</v>
      </c>
      <c r="K275" s="2">
        <v>4.2000000000000003E-2</v>
      </c>
    </row>
    <row r="276" spans="1:11" x14ac:dyDescent="0.35">
      <c r="A276" t="s">
        <v>26</v>
      </c>
      <c r="B276" t="s">
        <v>41</v>
      </c>
      <c r="C276" s="1">
        <v>45597</v>
      </c>
      <c r="D276">
        <v>65</v>
      </c>
      <c r="E276">
        <v>9</v>
      </c>
      <c r="F276">
        <v>220.46</v>
      </c>
      <c r="G276">
        <v>3</v>
      </c>
      <c r="H276" s="2">
        <v>0.33333333333333331</v>
      </c>
      <c r="I276">
        <v>707.75</v>
      </c>
      <c r="J276">
        <v>2</v>
      </c>
      <c r="K276" s="2">
        <v>2.76E-2</v>
      </c>
    </row>
    <row r="277" spans="1:11" x14ac:dyDescent="0.35">
      <c r="A277" t="s">
        <v>27</v>
      </c>
      <c r="B277" t="s">
        <v>41</v>
      </c>
      <c r="C277" s="1">
        <v>45597</v>
      </c>
      <c r="D277">
        <v>100</v>
      </c>
      <c r="E277">
        <v>6</v>
      </c>
      <c r="F277">
        <v>153.34</v>
      </c>
      <c r="G277">
        <v>3</v>
      </c>
      <c r="H277" s="2">
        <v>0.5</v>
      </c>
      <c r="I277">
        <v>1248.54</v>
      </c>
      <c r="J277">
        <v>1</v>
      </c>
      <c r="K277" s="2">
        <v>7.9000000000000001E-2</v>
      </c>
    </row>
    <row r="278" spans="1:11" x14ac:dyDescent="0.35">
      <c r="A278" t="s">
        <v>28</v>
      </c>
      <c r="B278" t="s">
        <v>41</v>
      </c>
      <c r="C278" s="1">
        <v>45597</v>
      </c>
      <c r="D278">
        <v>81</v>
      </c>
      <c r="E278">
        <v>7</v>
      </c>
      <c r="F278">
        <v>79.62</v>
      </c>
      <c r="G278">
        <v>7</v>
      </c>
      <c r="H278" s="2">
        <v>1</v>
      </c>
      <c r="I278">
        <v>3892.76</v>
      </c>
      <c r="J278">
        <v>3</v>
      </c>
      <c r="K278" s="2">
        <v>9.74E-2</v>
      </c>
    </row>
    <row r="279" spans="1:11" x14ac:dyDescent="0.35">
      <c r="A279" t="s">
        <v>29</v>
      </c>
      <c r="B279" t="s">
        <v>41</v>
      </c>
      <c r="C279" s="1">
        <v>45597</v>
      </c>
      <c r="D279">
        <v>26</v>
      </c>
      <c r="E279">
        <v>17</v>
      </c>
      <c r="F279">
        <v>504.54</v>
      </c>
      <c r="G279">
        <v>8</v>
      </c>
      <c r="H279" s="2">
        <v>0.47058823529411764</v>
      </c>
      <c r="I279">
        <v>3359.77</v>
      </c>
      <c r="J279">
        <v>2</v>
      </c>
      <c r="K279" s="2">
        <v>3.2000000000000001E-2</v>
      </c>
    </row>
    <row r="280" spans="1:11" x14ac:dyDescent="0.35">
      <c r="A280" t="s">
        <v>30</v>
      </c>
      <c r="B280" t="s">
        <v>41</v>
      </c>
      <c r="C280" s="1">
        <v>45597</v>
      </c>
      <c r="D280">
        <v>96</v>
      </c>
      <c r="E280">
        <v>16</v>
      </c>
      <c r="F280">
        <v>161.69</v>
      </c>
      <c r="G280">
        <v>5</v>
      </c>
      <c r="H280" s="2">
        <v>0.3125</v>
      </c>
      <c r="I280">
        <v>392.05</v>
      </c>
      <c r="J280">
        <v>1</v>
      </c>
      <c r="K280" s="2">
        <v>9.5700000000000007E-2</v>
      </c>
    </row>
    <row r="281" spans="1:11" x14ac:dyDescent="0.35">
      <c r="A281" t="s">
        <v>31</v>
      </c>
      <c r="B281" t="s">
        <v>41</v>
      </c>
      <c r="C281" s="1">
        <v>45597</v>
      </c>
      <c r="D281">
        <v>72</v>
      </c>
      <c r="E281">
        <v>12</v>
      </c>
      <c r="F281">
        <v>474.28</v>
      </c>
      <c r="G281">
        <v>1</v>
      </c>
      <c r="H281" s="2">
        <v>8.3333333333333329E-2</v>
      </c>
      <c r="I281">
        <v>1097.5999999999999</v>
      </c>
      <c r="J281">
        <v>3</v>
      </c>
      <c r="K281" s="2">
        <v>1E-3</v>
      </c>
    </row>
    <row r="282" spans="1:11" x14ac:dyDescent="0.35">
      <c r="A282" t="s">
        <v>32</v>
      </c>
      <c r="B282" t="s">
        <v>41</v>
      </c>
      <c r="C282" s="1">
        <v>45597</v>
      </c>
      <c r="D282">
        <v>18</v>
      </c>
      <c r="E282">
        <v>15</v>
      </c>
      <c r="F282">
        <v>268.94</v>
      </c>
      <c r="G282">
        <v>1</v>
      </c>
      <c r="H282" s="2">
        <v>6.6666666666666666E-2</v>
      </c>
      <c r="I282">
        <v>1469.71</v>
      </c>
      <c r="J282">
        <v>2</v>
      </c>
      <c r="K282" s="2">
        <v>5.0900000000000001E-2</v>
      </c>
    </row>
    <row r="283" spans="1:11" x14ac:dyDescent="0.35">
      <c r="A283" t="s">
        <v>33</v>
      </c>
      <c r="B283" t="s">
        <v>41</v>
      </c>
      <c r="C283" s="1">
        <v>45597</v>
      </c>
      <c r="D283">
        <v>87</v>
      </c>
      <c r="E283">
        <v>5</v>
      </c>
      <c r="F283">
        <v>601.28</v>
      </c>
      <c r="G283">
        <v>2</v>
      </c>
      <c r="H283" s="2">
        <v>0.4</v>
      </c>
      <c r="I283">
        <v>3491.19</v>
      </c>
      <c r="J283">
        <v>1</v>
      </c>
      <c r="K283" s="2">
        <v>2.9700000000000001E-2</v>
      </c>
    </row>
    <row r="284" spans="1:11" x14ac:dyDescent="0.35">
      <c r="A284" t="s">
        <v>34</v>
      </c>
      <c r="B284" t="s">
        <v>41</v>
      </c>
      <c r="C284" s="1">
        <v>45597</v>
      </c>
      <c r="D284">
        <v>73</v>
      </c>
      <c r="E284">
        <v>8</v>
      </c>
      <c r="F284">
        <v>182.48</v>
      </c>
      <c r="G284">
        <v>8</v>
      </c>
      <c r="H284" s="2">
        <v>1</v>
      </c>
      <c r="I284">
        <v>548.46</v>
      </c>
      <c r="J284">
        <v>1</v>
      </c>
      <c r="K284" s="2">
        <v>8.8200000000000001E-2</v>
      </c>
    </row>
    <row r="285" spans="1:11" x14ac:dyDescent="0.35">
      <c r="A285" t="s">
        <v>35</v>
      </c>
      <c r="B285" t="s">
        <v>41</v>
      </c>
      <c r="C285" s="1">
        <v>45597</v>
      </c>
      <c r="D285">
        <v>97</v>
      </c>
      <c r="E285">
        <v>14</v>
      </c>
      <c r="F285">
        <v>368.16</v>
      </c>
      <c r="G285">
        <v>0</v>
      </c>
      <c r="H285" s="2">
        <v>0</v>
      </c>
      <c r="I285">
        <v>3020.19</v>
      </c>
      <c r="J285">
        <v>3</v>
      </c>
      <c r="K285" s="2">
        <v>2.5099999999999997E-2</v>
      </c>
    </row>
    <row r="286" spans="1:11" x14ac:dyDescent="0.35">
      <c r="A286" t="s">
        <v>37</v>
      </c>
      <c r="B286" t="s">
        <v>41</v>
      </c>
      <c r="C286" s="1">
        <v>45597</v>
      </c>
      <c r="D286">
        <v>28</v>
      </c>
      <c r="E286">
        <v>12</v>
      </c>
      <c r="F286">
        <v>565.51</v>
      </c>
      <c r="G286">
        <v>4</v>
      </c>
      <c r="H286" s="2">
        <v>0.33333333333333331</v>
      </c>
      <c r="I286">
        <v>231.16</v>
      </c>
      <c r="J286">
        <v>2</v>
      </c>
      <c r="K286" s="2">
        <v>6.2699999999999992E-2</v>
      </c>
    </row>
    <row r="287" spans="1:11" x14ac:dyDescent="0.35">
      <c r="A287" t="s">
        <v>38</v>
      </c>
      <c r="B287" t="s">
        <v>41</v>
      </c>
      <c r="C287" s="1">
        <v>45597</v>
      </c>
      <c r="D287">
        <v>41</v>
      </c>
      <c r="E287">
        <v>13</v>
      </c>
      <c r="F287">
        <v>370.44</v>
      </c>
      <c r="G287">
        <v>9</v>
      </c>
      <c r="H287" s="2">
        <v>0.69230769230769229</v>
      </c>
      <c r="I287">
        <v>4484.96</v>
      </c>
      <c r="J287">
        <v>1</v>
      </c>
      <c r="K287" s="2">
        <v>8.5199999999999998E-2</v>
      </c>
    </row>
    <row r="288" spans="1:11" x14ac:dyDescent="0.35">
      <c r="A288" t="s">
        <v>11</v>
      </c>
      <c r="B288" t="s">
        <v>41</v>
      </c>
      <c r="C288" s="1">
        <v>45627</v>
      </c>
      <c r="D288">
        <v>61</v>
      </c>
      <c r="E288">
        <v>13</v>
      </c>
      <c r="F288">
        <v>356.61</v>
      </c>
      <c r="G288">
        <v>7</v>
      </c>
      <c r="H288" s="2">
        <f t="shared" ref="H288:H313" si="0">G288/E288</f>
        <v>0.53846153846153844</v>
      </c>
      <c r="I288">
        <v>4099.6400000000003</v>
      </c>
      <c r="J288">
        <v>3</v>
      </c>
      <c r="K288" s="2">
        <v>2.9600000000000001E-2</v>
      </c>
    </row>
    <row r="289" spans="1:11" x14ac:dyDescent="0.35">
      <c r="A289" t="s">
        <v>13</v>
      </c>
      <c r="B289" t="s">
        <v>41</v>
      </c>
      <c r="C289" s="1">
        <v>45627</v>
      </c>
      <c r="D289">
        <v>80</v>
      </c>
      <c r="E289">
        <v>13</v>
      </c>
      <c r="F289">
        <v>369.46</v>
      </c>
      <c r="G289">
        <v>4</v>
      </c>
      <c r="H289" s="2">
        <f t="shared" si="0"/>
        <v>0.30769230769230771</v>
      </c>
      <c r="I289">
        <v>3996.04</v>
      </c>
      <c r="J289">
        <v>2</v>
      </c>
      <c r="K289" s="2">
        <v>3.7499999999999999E-2</v>
      </c>
    </row>
    <row r="290" spans="1:11" x14ac:dyDescent="0.35">
      <c r="A290" t="s">
        <v>14</v>
      </c>
      <c r="B290" t="s">
        <v>41</v>
      </c>
      <c r="C290" s="1">
        <v>45627</v>
      </c>
      <c r="D290">
        <v>51</v>
      </c>
      <c r="E290">
        <v>14</v>
      </c>
      <c r="F290">
        <v>419.93</v>
      </c>
      <c r="G290">
        <v>2</v>
      </c>
      <c r="H290" s="2">
        <f t="shared" si="0"/>
        <v>0.14285714285714285</v>
      </c>
      <c r="I290">
        <v>3543.6</v>
      </c>
      <c r="J290">
        <v>1</v>
      </c>
      <c r="K290" s="2">
        <v>4.6300000000000001E-2</v>
      </c>
    </row>
    <row r="291" spans="1:11" x14ac:dyDescent="0.35">
      <c r="A291" t="s">
        <v>15</v>
      </c>
      <c r="B291" t="s">
        <v>41</v>
      </c>
      <c r="C291" s="1">
        <v>45627</v>
      </c>
      <c r="D291">
        <v>20</v>
      </c>
      <c r="E291">
        <v>5</v>
      </c>
      <c r="F291">
        <v>71.41</v>
      </c>
      <c r="G291">
        <v>3</v>
      </c>
      <c r="H291" s="2">
        <f t="shared" si="0"/>
        <v>0.6</v>
      </c>
      <c r="I291">
        <v>1527.27</v>
      </c>
      <c r="J291">
        <v>3</v>
      </c>
      <c r="K291" s="2">
        <v>2.7000000000000003E-2</v>
      </c>
    </row>
    <row r="292" spans="1:11" x14ac:dyDescent="0.35">
      <c r="A292" t="s">
        <v>16</v>
      </c>
      <c r="B292" t="s">
        <v>41</v>
      </c>
      <c r="C292" s="1">
        <v>45627</v>
      </c>
      <c r="D292">
        <v>101</v>
      </c>
      <c r="E292">
        <v>14</v>
      </c>
      <c r="F292">
        <v>503.93</v>
      </c>
      <c r="G292">
        <v>5</v>
      </c>
      <c r="H292" s="2">
        <f t="shared" si="0"/>
        <v>0.35714285714285715</v>
      </c>
      <c r="I292">
        <v>1116.6099999999999</v>
      </c>
      <c r="J292">
        <v>2</v>
      </c>
      <c r="K292" s="2">
        <v>3.7000000000000005E-2</v>
      </c>
    </row>
    <row r="293" spans="1:11" x14ac:dyDescent="0.35">
      <c r="A293" t="s">
        <v>17</v>
      </c>
      <c r="B293" t="s">
        <v>41</v>
      </c>
      <c r="C293" s="1">
        <v>45627</v>
      </c>
      <c r="D293">
        <v>70</v>
      </c>
      <c r="E293">
        <v>6</v>
      </c>
      <c r="F293">
        <v>488.97</v>
      </c>
      <c r="G293">
        <v>3</v>
      </c>
      <c r="H293" s="2">
        <f t="shared" si="0"/>
        <v>0.5</v>
      </c>
      <c r="I293">
        <v>3767.09</v>
      </c>
      <c r="J293">
        <v>1</v>
      </c>
      <c r="K293" s="2">
        <v>1.0800000000000001E-2</v>
      </c>
    </row>
    <row r="294" spans="1:11" x14ac:dyDescent="0.35">
      <c r="A294" t="s">
        <v>18</v>
      </c>
      <c r="B294" t="s">
        <v>41</v>
      </c>
      <c r="C294" s="1">
        <v>45627</v>
      </c>
      <c r="D294">
        <v>84</v>
      </c>
      <c r="E294">
        <v>19</v>
      </c>
      <c r="F294">
        <v>301.2</v>
      </c>
      <c r="G294">
        <v>2</v>
      </c>
      <c r="H294" s="2">
        <f t="shared" si="0"/>
        <v>0.10526315789473684</v>
      </c>
      <c r="I294">
        <v>2608.4699999999998</v>
      </c>
      <c r="J294">
        <v>3</v>
      </c>
      <c r="K294" s="2">
        <v>0.1032</v>
      </c>
    </row>
    <row r="295" spans="1:11" x14ac:dyDescent="0.35">
      <c r="A295" t="s">
        <v>19</v>
      </c>
      <c r="B295" t="s">
        <v>41</v>
      </c>
      <c r="C295" s="1">
        <v>45627</v>
      </c>
      <c r="D295">
        <v>50</v>
      </c>
      <c r="E295">
        <v>6</v>
      </c>
      <c r="F295">
        <v>219.19</v>
      </c>
      <c r="G295">
        <v>4</v>
      </c>
      <c r="H295" s="2">
        <f t="shared" si="0"/>
        <v>0.66666666666666663</v>
      </c>
      <c r="I295">
        <v>3836.95</v>
      </c>
      <c r="J295">
        <v>2</v>
      </c>
      <c r="K295" s="2">
        <v>3.8699999999999998E-2</v>
      </c>
    </row>
    <row r="296" spans="1:11" x14ac:dyDescent="0.35">
      <c r="A296" t="s">
        <v>20</v>
      </c>
      <c r="B296" t="s">
        <v>41</v>
      </c>
      <c r="C296" s="1">
        <v>45627</v>
      </c>
      <c r="D296">
        <v>28</v>
      </c>
      <c r="E296">
        <v>19</v>
      </c>
      <c r="F296">
        <v>352.06</v>
      </c>
      <c r="G296">
        <v>9</v>
      </c>
      <c r="H296" s="2">
        <f t="shared" si="0"/>
        <v>0.47368421052631576</v>
      </c>
      <c r="I296">
        <v>1107.51</v>
      </c>
      <c r="J296">
        <v>3</v>
      </c>
      <c r="K296" s="2">
        <v>5.5E-2</v>
      </c>
    </row>
    <row r="297" spans="1:11" x14ac:dyDescent="0.35">
      <c r="A297" t="s">
        <v>21</v>
      </c>
      <c r="B297" t="s">
        <v>41</v>
      </c>
      <c r="C297" s="1">
        <v>45627</v>
      </c>
      <c r="D297">
        <v>69</v>
      </c>
      <c r="E297">
        <v>16</v>
      </c>
      <c r="F297">
        <v>337.7</v>
      </c>
      <c r="G297">
        <v>9</v>
      </c>
      <c r="H297" s="2">
        <f t="shared" si="0"/>
        <v>0.5625</v>
      </c>
      <c r="I297">
        <v>947.47</v>
      </c>
      <c r="J297">
        <v>2</v>
      </c>
      <c r="K297" s="2">
        <v>3.56E-2</v>
      </c>
    </row>
    <row r="298" spans="1:11" x14ac:dyDescent="0.35">
      <c r="A298" t="s">
        <v>22</v>
      </c>
      <c r="B298" t="s">
        <v>41</v>
      </c>
      <c r="C298" s="1">
        <v>45627</v>
      </c>
      <c r="D298">
        <v>18</v>
      </c>
      <c r="E298">
        <v>6</v>
      </c>
      <c r="F298">
        <v>212.39</v>
      </c>
      <c r="G298">
        <v>3</v>
      </c>
      <c r="H298" s="2">
        <f t="shared" si="0"/>
        <v>0.5</v>
      </c>
      <c r="I298">
        <v>730.81</v>
      </c>
      <c r="J298">
        <v>1</v>
      </c>
      <c r="K298" s="2">
        <v>8.6699999999999999E-2</v>
      </c>
    </row>
    <row r="299" spans="1:11" x14ac:dyDescent="0.35">
      <c r="A299" t="s">
        <v>23</v>
      </c>
      <c r="B299" t="s">
        <v>41</v>
      </c>
      <c r="C299" s="1">
        <v>45627</v>
      </c>
      <c r="D299">
        <v>40</v>
      </c>
      <c r="E299">
        <v>7</v>
      </c>
      <c r="F299">
        <v>486.93</v>
      </c>
      <c r="G299">
        <v>7</v>
      </c>
      <c r="H299" s="2">
        <f t="shared" si="0"/>
        <v>1</v>
      </c>
      <c r="I299">
        <v>3643.63</v>
      </c>
      <c r="J299">
        <v>3</v>
      </c>
      <c r="K299" s="2">
        <v>4.0199999999999993E-2</v>
      </c>
    </row>
    <row r="300" spans="1:11" x14ac:dyDescent="0.35">
      <c r="A300" t="s">
        <v>24</v>
      </c>
      <c r="B300" t="s">
        <v>41</v>
      </c>
      <c r="C300" s="1">
        <v>45627</v>
      </c>
      <c r="D300">
        <v>77</v>
      </c>
      <c r="E300">
        <v>16</v>
      </c>
      <c r="F300">
        <v>539.26</v>
      </c>
      <c r="G300">
        <v>3</v>
      </c>
      <c r="H300" s="2">
        <f t="shared" si="0"/>
        <v>0.1875</v>
      </c>
      <c r="I300">
        <v>379.83</v>
      </c>
      <c r="J300">
        <v>2</v>
      </c>
      <c r="K300" s="2">
        <v>3.7999999999999999E-2</v>
      </c>
    </row>
    <row r="301" spans="1:11" x14ac:dyDescent="0.35">
      <c r="A301" t="s">
        <v>25</v>
      </c>
      <c r="B301" t="s">
        <v>41</v>
      </c>
      <c r="C301" s="1">
        <v>45627</v>
      </c>
      <c r="D301">
        <v>31</v>
      </c>
      <c r="E301">
        <v>6</v>
      </c>
      <c r="F301">
        <v>191.66</v>
      </c>
      <c r="G301">
        <v>2</v>
      </c>
      <c r="H301" s="2">
        <f t="shared" si="0"/>
        <v>0.33333333333333331</v>
      </c>
      <c r="I301">
        <v>3753.06</v>
      </c>
      <c r="J301">
        <v>1</v>
      </c>
      <c r="K301" s="2">
        <v>3.8300000000000001E-2</v>
      </c>
    </row>
    <row r="302" spans="1:11" x14ac:dyDescent="0.35">
      <c r="A302" t="s">
        <v>26</v>
      </c>
      <c r="B302" t="s">
        <v>41</v>
      </c>
      <c r="C302" s="1">
        <v>45627</v>
      </c>
      <c r="D302">
        <v>57</v>
      </c>
      <c r="E302">
        <v>7</v>
      </c>
      <c r="F302">
        <v>190.08</v>
      </c>
      <c r="G302">
        <v>2</v>
      </c>
      <c r="H302" s="2">
        <f t="shared" si="0"/>
        <v>0.2857142857142857</v>
      </c>
      <c r="I302">
        <v>649.97</v>
      </c>
      <c r="J302">
        <v>3</v>
      </c>
      <c r="K302" s="2">
        <v>2.8799999999999999E-2</v>
      </c>
    </row>
    <row r="303" spans="1:11" x14ac:dyDescent="0.35">
      <c r="A303" t="s">
        <v>27</v>
      </c>
      <c r="B303" t="s">
        <v>41</v>
      </c>
      <c r="C303" s="1">
        <v>45627</v>
      </c>
      <c r="D303">
        <v>88</v>
      </c>
      <c r="E303">
        <v>5</v>
      </c>
      <c r="F303">
        <v>168.89</v>
      </c>
      <c r="G303">
        <v>3</v>
      </c>
      <c r="H303" s="2">
        <f t="shared" si="0"/>
        <v>0.6</v>
      </c>
      <c r="I303">
        <v>1153.93</v>
      </c>
      <c r="J303">
        <v>2</v>
      </c>
      <c r="K303" s="2">
        <v>8.2500000000000004E-2</v>
      </c>
    </row>
    <row r="304" spans="1:11" x14ac:dyDescent="0.35">
      <c r="A304" t="s">
        <v>28</v>
      </c>
      <c r="B304" t="s">
        <v>41</v>
      </c>
      <c r="C304" s="1">
        <v>45627</v>
      </c>
      <c r="D304">
        <v>74</v>
      </c>
      <c r="E304">
        <v>6</v>
      </c>
      <c r="F304">
        <v>87.83</v>
      </c>
      <c r="G304">
        <v>6</v>
      </c>
      <c r="H304" s="2">
        <f t="shared" si="0"/>
        <v>1</v>
      </c>
      <c r="I304">
        <v>3741.27</v>
      </c>
      <c r="J304">
        <v>1</v>
      </c>
      <c r="K304" s="2">
        <v>9.9700000000000011E-2</v>
      </c>
    </row>
    <row r="305" spans="1:11" x14ac:dyDescent="0.35">
      <c r="A305" t="s">
        <v>29</v>
      </c>
      <c r="B305" t="s">
        <v>41</v>
      </c>
      <c r="C305" s="1">
        <v>45627</v>
      </c>
      <c r="D305">
        <v>26</v>
      </c>
      <c r="E305">
        <v>13</v>
      </c>
      <c r="F305">
        <v>543.15</v>
      </c>
      <c r="G305">
        <v>6</v>
      </c>
      <c r="H305" s="2">
        <f t="shared" si="0"/>
        <v>0.46153846153846156</v>
      </c>
      <c r="I305">
        <v>3793.56</v>
      </c>
      <c r="J305">
        <v>3</v>
      </c>
      <c r="K305" s="2">
        <v>3.56E-2</v>
      </c>
    </row>
    <row r="306" spans="1:11" x14ac:dyDescent="0.35">
      <c r="A306" t="s">
        <v>30</v>
      </c>
      <c r="B306" t="s">
        <v>41</v>
      </c>
      <c r="C306" s="1">
        <v>45627</v>
      </c>
      <c r="D306">
        <v>99</v>
      </c>
      <c r="E306">
        <v>15</v>
      </c>
      <c r="F306">
        <v>181.12</v>
      </c>
      <c r="G306">
        <v>5</v>
      </c>
      <c r="H306" s="2">
        <f t="shared" si="0"/>
        <v>0.33333333333333331</v>
      </c>
      <c r="I306">
        <v>454.09</v>
      </c>
      <c r="J306">
        <v>2</v>
      </c>
      <c r="K306" s="2">
        <v>9.3599999999999989E-2</v>
      </c>
    </row>
    <row r="307" spans="1:11" x14ac:dyDescent="0.35">
      <c r="A307" t="s">
        <v>31</v>
      </c>
      <c r="B307" t="s">
        <v>41</v>
      </c>
      <c r="C307" s="1">
        <v>45627</v>
      </c>
      <c r="D307">
        <v>74</v>
      </c>
      <c r="E307">
        <v>14</v>
      </c>
      <c r="F307">
        <v>508.85</v>
      </c>
      <c r="G307">
        <v>1</v>
      </c>
      <c r="H307" s="2">
        <f t="shared" si="0"/>
        <v>7.1428571428571425E-2</v>
      </c>
      <c r="I307">
        <v>1182.6300000000001</v>
      </c>
      <c r="J307">
        <v>1</v>
      </c>
      <c r="K307" s="2">
        <v>8.9999999999999998E-4</v>
      </c>
    </row>
    <row r="308" spans="1:11" x14ac:dyDescent="0.35">
      <c r="A308" t="s">
        <v>32</v>
      </c>
      <c r="B308" t="s">
        <v>41</v>
      </c>
      <c r="C308" s="1">
        <v>45627</v>
      </c>
      <c r="D308">
        <v>21</v>
      </c>
      <c r="E308">
        <v>17</v>
      </c>
      <c r="F308">
        <v>297.83999999999997</v>
      </c>
      <c r="G308">
        <v>1</v>
      </c>
      <c r="H308" s="2">
        <f t="shared" si="0"/>
        <v>5.8823529411764705E-2</v>
      </c>
      <c r="I308">
        <v>1553.7</v>
      </c>
      <c r="J308">
        <v>1</v>
      </c>
      <c r="K308" s="2">
        <v>5.0700000000000002E-2</v>
      </c>
    </row>
    <row r="309" spans="1:11" x14ac:dyDescent="0.35">
      <c r="A309" t="s">
        <v>33</v>
      </c>
      <c r="B309" t="s">
        <v>41</v>
      </c>
      <c r="C309" s="1">
        <v>45627</v>
      </c>
      <c r="D309">
        <v>94</v>
      </c>
      <c r="E309">
        <v>6</v>
      </c>
      <c r="F309">
        <v>537.26</v>
      </c>
      <c r="G309">
        <v>1</v>
      </c>
      <c r="H309" s="2">
        <f t="shared" si="0"/>
        <v>0.16666666666666666</v>
      </c>
      <c r="I309">
        <v>3665.55</v>
      </c>
      <c r="J309">
        <v>3</v>
      </c>
      <c r="K309" s="2">
        <v>3.0800000000000001E-2</v>
      </c>
    </row>
    <row r="310" spans="1:11" x14ac:dyDescent="0.35">
      <c r="A310" t="s">
        <v>34</v>
      </c>
      <c r="B310" t="s">
        <v>41</v>
      </c>
      <c r="C310" s="1">
        <v>45627</v>
      </c>
      <c r="D310">
        <v>83</v>
      </c>
      <c r="E310">
        <v>9</v>
      </c>
      <c r="F310">
        <v>188.49</v>
      </c>
      <c r="G310">
        <v>7</v>
      </c>
      <c r="H310" s="2">
        <f t="shared" si="0"/>
        <v>0.77777777777777779</v>
      </c>
      <c r="I310">
        <v>545.09</v>
      </c>
      <c r="J310">
        <v>2</v>
      </c>
      <c r="K310" s="2">
        <v>8.5600000000000009E-2</v>
      </c>
    </row>
    <row r="311" spans="1:11" x14ac:dyDescent="0.35">
      <c r="A311" t="s">
        <v>35</v>
      </c>
      <c r="B311" t="s">
        <v>41</v>
      </c>
      <c r="C311" s="1">
        <v>45627</v>
      </c>
      <c r="D311">
        <v>84</v>
      </c>
      <c r="E311">
        <v>14</v>
      </c>
      <c r="F311">
        <v>370.36</v>
      </c>
      <c r="G311">
        <v>0</v>
      </c>
      <c r="H311" s="2">
        <f t="shared" si="0"/>
        <v>0</v>
      </c>
      <c r="I311">
        <v>2605.02</v>
      </c>
      <c r="J311">
        <v>1</v>
      </c>
      <c r="K311" s="2">
        <v>2.5499999999999998E-2</v>
      </c>
    </row>
    <row r="312" spans="1:11" x14ac:dyDescent="0.35">
      <c r="A312" t="s">
        <v>37</v>
      </c>
      <c r="B312" t="s">
        <v>41</v>
      </c>
      <c r="C312" s="1">
        <v>45627</v>
      </c>
      <c r="D312">
        <v>32</v>
      </c>
      <c r="E312">
        <v>10</v>
      </c>
      <c r="F312">
        <v>500.83</v>
      </c>
      <c r="G312">
        <v>4</v>
      </c>
      <c r="H312" s="2">
        <f t="shared" si="0"/>
        <v>0.4</v>
      </c>
      <c r="I312">
        <v>239.13</v>
      </c>
      <c r="J312">
        <v>3</v>
      </c>
      <c r="K312" s="2">
        <v>6.1900000000000004E-2</v>
      </c>
    </row>
    <row r="313" spans="1:11" x14ac:dyDescent="0.35">
      <c r="A313" t="s">
        <v>38</v>
      </c>
      <c r="B313" t="s">
        <v>41</v>
      </c>
      <c r="C313" s="1">
        <v>45627</v>
      </c>
      <c r="D313">
        <v>39</v>
      </c>
      <c r="E313">
        <v>15</v>
      </c>
      <c r="F313">
        <v>319.08999999999997</v>
      </c>
      <c r="G313">
        <v>7</v>
      </c>
      <c r="H313" s="2">
        <f t="shared" si="0"/>
        <v>0.46666666666666667</v>
      </c>
      <c r="I313">
        <v>4573.5</v>
      </c>
      <c r="J313">
        <v>2</v>
      </c>
      <c r="K313" s="2">
        <v>8.0399999999999985E-2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Calculation</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Rashed Munshi</dc:creator>
  <cp:lastModifiedBy>Rashed Munshi</cp:lastModifiedBy>
  <dcterms:created xsi:type="dcterms:W3CDTF">2026-01-10T14:57:41Z</dcterms:created>
  <dcterms:modified xsi:type="dcterms:W3CDTF">2026-01-10T16:02:29Z</dcterms:modified>
</cp:coreProperties>
</file>